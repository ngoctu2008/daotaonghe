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DSD" sheetId="1" state="visible" r:id="rId1"/>
    <sheet name="THỐNG KÊ" sheetId="2" state="visible" r:id="rId2"/>
    <sheet name="KHÓA HỌC" sheetId="3" state="visible" r:id="rId3"/>
    <sheet name="Thông tin HV" sheetId="4" state="visible" r:id="rId4"/>
    <sheet name="DSTN-Xã" sheetId="5" state="visible" r:id="rId5"/>
    <sheet name="DSTN-TT" sheetId="6" state="visible" r:id="rId6"/>
    <sheet name="Ngày thực học" sheetId="7" state="visible" r:id="rId7"/>
    <sheet name="Xét KT TC" sheetId="8" state="visible" r:id="rId8"/>
    <sheet name="Xét KT MĐ" sheetId="9" state="visible" r:id="rId9"/>
    <sheet name="Phiếu MĐ" sheetId="10" state="visible" r:id="rId10"/>
    <sheet name="Điểm MĐ" sheetId="11" state="visible" r:id="rId11"/>
    <sheet name="Điểm KH" sheetId="12" state="visible" r:id="rId12"/>
    <sheet name="Phiếu KQHT" sheetId="13" state="visible" r:id="rId13"/>
    <sheet name="Công nhận tốt nghiệp" sheetId="14" state="visible" r:id="rId14"/>
    <sheet name="IDs" sheetId="15" state="visible" r:id="rId15"/>
  </sheets>
  <externalReferences>
    <externalReference r:id="rId16"/>
  </externalReferences>
  <definedNames>
    <definedName name="module" hidden="0" function="0" vbProcedure="0">[1]HOME!$C$32:$C$34</definedName>
    <definedName name="TEN_NGHE" hidden="0" function="0" vbProcedure="0">IDs!$B$4:$B$33</definedName>
    <definedName name="_xlfn_COUNTIFS" hidden="0" function="0" vbProcedure="0">none</definedName>
    <definedName name="_xlfn_IFERROR" hidden="0" function="0" vbProcedure="0">none</definedName>
    <definedName name="Excel_BuiltIn_Print_Titles" localSheetId="3" hidden="0" function="0" vbProcedure="0">#REF!</definedName>
    <definedName name="_xlnm.Print_Area" localSheetId="3">'Thông tin HV'!$A$2:$K$39</definedName>
    <definedName name="_xlnm.Print_Titles" localSheetId="4">'DSTN-Xã'!$9:$9</definedName>
    <definedName name="_xlnm.Print_Area" localSheetId="4">'DSTN-Xã'!$A$1:$M$59</definedName>
    <definedName name="_xlnm.Print_Titles" localSheetId="5">'DSTN-TT'!$9:$9</definedName>
    <definedName name="_xlnm.Print_Area" localSheetId="5">'DSTN-TT'!$A$1:$M$59</definedName>
    <definedName name="_xlnm.Print_Titles" localSheetId="13">'Công nhận tốt nghiệp'!$7:$7</definedName>
  </definedNames>
  <calcPr calcId="124519" fullCalcOnLoad="1" refMode="A1" iterate="0" iterateCount="100" iterateDelta="0.001"/>
</workbook>
</file>

<file path=xl/styles.xml><?xml version="1.0" encoding="utf-8"?>
<styleSheet xmlns="http://schemas.openxmlformats.org/spreadsheetml/2006/main">
  <numFmts count="14">
    <numFmt numFmtId="164" formatCode="0?"/>
    <numFmt numFmtId="165" formatCode="0.0%"/>
    <numFmt numFmtId="166" formatCode="d/m/yyyy;@"/>
    <numFmt numFmtId="167" formatCode="&quot;19&quot;??"/>
    <numFmt numFmtId="168" formatCode="00"/>
    <numFmt numFmtId="169" formatCode="d&quot;/12&quot;"/>
    <numFmt numFmtId="170" formatCode="m/d;@"/>
    <numFmt numFmtId="171" formatCode="?/12"/>
    <numFmt numFmtId="172" formatCode="[$-409]m/d/yyyy"/>
    <numFmt numFmtId="173" formatCode="?&quot;/12&quot;"/>
    <numFmt numFmtId="174" formatCode="00?"/>
    <numFmt numFmtId="175" formatCode="0;[RED]0"/>
    <numFmt numFmtId="176" formatCode="?&quot; tháng&quot;"/>
    <numFmt numFmtId="177" formatCode="0.0"/>
  </numFmts>
  <fonts count="74">
    <font>
      <name val=".VnTime"/>
      <family val="0"/>
      <sz val="12"/>
    </font>
    <font>
      <name val="Arial"/>
      <family val="0"/>
      <sz val="10"/>
    </font>
    <font>
      <name val="Arial"/>
      <family val="0"/>
      <sz val="10"/>
    </font>
    <font>
      <name val="Arial"/>
      <family val="0"/>
      <sz val="10"/>
    </font>
    <font>
      <name val="Calibri"/>
      <family val="2"/>
      <color rgb="FF000000"/>
      <sz val="11"/>
    </font>
    <font>
      <name val=".VnTime"/>
      <family val="2"/>
      <sz val="12"/>
    </font>
    <font>
      <name val="Times New Roman"/>
      <family val="1"/>
      <sz val="12"/>
    </font>
    <font>
      <name val="Times New Roman"/>
      <family val="1"/>
      <b val="1"/>
      <color rgb="FF993300"/>
      <sz val="13.5"/>
    </font>
    <font>
      <name val="Times New Roman"/>
      <family val="1"/>
      <b val="1"/>
      <sz val="12"/>
    </font>
    <font>
      <name val="Times New Roman"/>
      <family val="1"/>
      <i val="1"/>
      <sz val="12"/>
    </font>
    <font>
      <name val="Times New Roman"/>
      <family val="1"/>
      <sz val="10"/>
    </font>
    <font>
      <name val="Times New Roman"/>
      <family val="1"/>
      <b val="1"/>
      <color rgb="FF993300"/>
      <sz val="12"/>
    </font>
    <font>
      <name val="Calibri Light"/>
      <charset val="163"/>
      <family val="1"/>
      <sz val="14"/>
    </font>
    <font>
      <name val="Calibri Light"/>
      <charset val="163"/>
      <family val="1"/>
      <b val="1"/>
      <color rgb="FF333399"/>
      <sz val="14"/>
    </font>
    <font>
      <name val="Calibri Light"/>
      <charset val="163"/>
      <family val="1"/>
      <b val="1"/>
      <sz val="14"/>
    </font>
    <font>
      <name val="Calibri Light"/>
      <charset val="163"/>
      <family val="1"/>
      <color rgb="FF003366"/>
      <sz val="14"/>
    </font>
    <font>
      <name val="Calibri Light"/>
      <charset val="163"/>
      <family val="1"/>
      <b val="1"/>
      <color rgb="FF003366"/>
      <sz val="14"/>
    </font>
    <font>
      <name val="Calibri Light"/>
      <charset val="163"/>
      <family val="1"/>
      <b val="1"/>
      <color rgb="FF333399"/>
      <sz val="12"/>
    </font>
    <font>
      <name val=".VnTime"/>
      <family val="2"/>
      <color rgb="FF0000FF"/>
      <sz val="12"/>
      <u val="single"/>
    </font>
    <font>
      <name val="Calibri Light"/>
      <charset val="163"/>
      <family val="1"/>
      <b val="1"/>
      <color rgb="FF993300"/>
      <sz val="14"/>
    </font>
    <font>
      <name val="Calibri Light"/>
      <charset val="163"/>
      <family val="1"/>
      <b val="1"/>
      <color rgb="FF993300"/>
      <sz val="12"/>
    </font>
    <font>
      <name val="Calibri Light"/>
      <charset val="163"/>
      <family val="1"/>
      <color rgb="FF993300"/>
      <sz val="14"/>
    </font>
    <font>
      <name val="Times New Roman"/>
      <family val="1"/>
      <sz val="14"/>
    </font>
    <font>
      <name val="Times New Roman"/>
      <family val="1"/>
      <b val="1"/>
      <color rgb="FFFFFFFF"/>
      <sz val="14"/>
    </font>
    <font>
      <name val="Times New Roman"/>
      <family val="1"/>
      <b val="1"/>
      <sz val="14"/>
    </font>
    <font>
      <name val="Times New Roman"/>
      <family val="1"/>
      <color rgb="FFFF0000"/>
      <sz val="14"/>
    </font>
    <font>
      <name val="Times New Roman"/>
      <family val="1"/>
      <b val="1"/>
      <color rgb="FFFF0000"/>
      <sz val="14"/>
    </font>
    <font>
      <name val="Calibri"/>
      <family val="2"/>
      <b val="1"/>
      <color rgb="FF000000"/>
      <sz val="11"/>
    </font>
    <font>
      <name val="Times New Roman"/>
      <family val="1"/>
      <color rgb="FF000000"/>
      <sz val="13"/>
    </font>
    <font>
      <name val="Times New Roman"/>
      <charset val="163"/>
      <family val="1"/>
      <sz val="14"/>
    </font>
    <font>
      <name val="Times New Roman"/>
      <family val="1"/>
      <color rgb="FF000000"/>
      <sz val="14"/>
    </font>
    <font>
      <name val="Times New Roman"/>
      <family val="1"/>
      <color rgb="FF000000"/>
      <sz val="12"/>
    </font>
    <font>
      <name val="Times New Roman"/>
      <family val="1"/>
      <sz val="13"/>
    </font>
    <font>
      <name val="Times New Roman"/>
      <family val="1"/>
      <b val="1"/>
      <sz val="13"/>
    </font>
    <font>
      <name val="Times New Roman"/>
      <family val="1"/>
      <sz val="14"/>
      <u val="single"/>
    </font>
    <font>
      <name val="Times New Roman"/>
      <family val="1"/>
      <b val="1"/>
      <sz val="16"/>
    </font>
    <font>
      <name val="Times New Roman"/>
      <charset val="163"/>
      <family val="1"/>
      <i val="1"/>
      <sz val="13"/>
    </font>
    <font>
      <name val="Calibri Light"/>
      <charset val="163"/>
      <family val="1"/>
      <sz val="12"/>
    </font>
    <font>
      <name val="Times New Roman"/>
      <family val="1"/>
      <b val="1"/>
      <sz val="10"/>
    </font>
    <font>
      <name val="Times New Roman"/>
      <family val="1"/>
      <color rgb="FF000000"/>
      <sz val="10"/>
    </font>
    <font>
      <name val="Times New Roman"/>
      <family val="1"/>
      <i val="1"/>
      <color rgb="FF000000"/>
      <sz val="10"/>
    </font>
    <font>
      <name val="Times New Roman"/>
      <family val="1"/>
      <i val="1"/>
      <color rgb="FF000000"/>
      <sz val="13"/>
    </font>
    <font>
      <name val="Times New Roman"/>
      <family val="1"/>
      <i val="1"/>
      <sz val="13"/>
    </font>
    <font>
      <name val="Times New Roman"/>
      <charset val="163"/>
      <family val="1"/>
      <b val="1"/>
      <sz val="14"/>
    </font>
    <font>
      <name val="Times New Roman"/>
      <family val="1"/>
      <sz val="11"/>
    </font>
    <font>
      <name val="Times New Roman"/>
      <family val="1"/>
      <b val="1"/>
      <color rgb="FF000000"/>
      <sz val="12"/>
    </font>
    <font>
      <name val="Times New Roman"/>
      <family val="1"/>
      <b val="1"/>
      <color rgb="FF000000"/>
      <sz val="13"/>
    </font>
    <font>
      <name val="Times New Roman"/>
      <family val="1"/>
      <b val="1"/>
      <color rgb="FF000000"/>
      <sz val="14"/>
    </font>
    <font>
      <name val="Times New Roman"/>
      <family val="1"/>
      <b val="1"/>
      <color rgb="FF000000"/>
      <sz val="11"/>
    </font>
    <font>
      <name val="Calibri"/>
      <family val="2"/>
      <color rgb="FF000000"/>
      <sz val="13"/>
    </font>
    <font>
      <name val="Times New Roman"/>
      <family val="1"/>
      <i val="1"/>
      <color rgb="FF000000"/>
      <sz val="12"/>
    </font>
    <font>
      <name val="Times New Roman"/>
      <family val="1"/>
      <color rgb="FF000000"/>
      <sz val="11"/>
    </font>
    <font>
      <name val="Calibri"/>
      <family val="2"/>
      <b val="1"/>
      <i val="1"/>
      <color rgb="FF000000"/>
      <sz val="11"/>
    </font>
    <font>
      <name val="Times New Roman"/>
      <family val="1"/>
      <i val="1"/>
      <color rgb="FF000000"/>
      <sz val="14"/>
    </font>
    <font>
      <name val="Times New Roman"/>
      <family val="1"/>
      <b val="1"/>
      <color rgb="FF000000"/>
      <sz val="10"/>
    </font>
    <font>
      <name val="Times New Roman"/>
      <family val="1"/>
      <b val="1"/>
      <i val="1"/>
      <color rgb="FF000000"/>
      <sz val="13"/>
    </font>
    <font>
      <name val=".VnTime"/>
      <family val="2"/>
      <sz val="13"/>
    </font>
    <font>
      <name val="Times New Roman"/>
      <charset val="163"/>
      <family val="1"/>
      <i val="1"/>
      <sz val="10"/>
    </font>
    <font>
      <name val="Times New Roman"/>
      <family val="0"/>
      <sz val="13"/>
    </font>
    <font>
      <name val="Times New Roman"/>
      <family val="1"/>
      <b val="1"/>
      <color rgb="FFFF0000"/>
      <sz val="13"/>
    </font>
    <font>
      <name val="Times New Roman"/>
      <charset val="163"/>
      <family val="1"/>
      <sz val="12"/>
    </font>
    <font>
      <name val=".VnTimeH"/>
      <family val="2"/>
      <sz val="14"/>
    </font>
    <font>
      <name val=".VnTime"/>
      <family val="2"/>
      <b val="1"/>
      <sz val="12"/>
    </font>
    <font>
      <name val="Times New Roman"/>
      <charset val="163"/>
      <family val="1"/>
      <b val="1"/>
      <color rgb="FF000000"/>
      <sz val="12"/>
    </font>
    <font>
      <name val="Calibri"/>
      <charset val="163"/>
      <family val="2"/>
      <b val="1"/>
      <color rgb="FF000000"/>
      <sz val="11"/>
    </font>
    <font>
      <name val="Times New Roman"/>
      <family val="1"/>
      <color rgb="FFFF0000"/>
      <sz val="12"/>
    </font>
    <font>
      <name val="Times New Roman"/>
      <charset val="163"/>
      <family val="1"/>
      <sz val="13"/>
    </font>
    <font>
      <name val="Times New Roman"/>
      <charset val="163"/>
      <family val="1"/>
      <b val="1"/>
      <sz val="13"/>
    </font>
    <font>
      <name val="Times New Roman"/>
      <charset val="163"/>
      <family val="1"/>
      <b val="1"/>
      <sz val="16"/>
    </font>
    <font>
      <name val="Times New Roman"/>
      <charset val="163"/>
      <family val="1"/>
      <i val="1"/>
      <sz val="12"/>
    </font>
    <font>
      <name val="Times New Roman"/>
      <charset val="163"/>
      <family val="1"/>
      <color rgb="FF000000"/>
      <sz val="13"/>
    </font>
    <font>
      <name val="Calibri Light"/>
      <charset val="163"/>
      <family val="1"/>
      <b val="1"/>
      <sz val="12"/>
    </font>
    <font>
      <name val="T\"/>
      <family val="0"/>
      <b val="1"/>
      <sz val="12"/>
    </font>
    <font>
      <name val="T\"/>
      <family val="0"/>
      <b val="1"/>
      <i val="1"/>
      <sz val="12"/>
    </font>
  </fonts>
  <fills count="12">
    <fill>
      <patternFill/>
    </fill>
    <fill>
      <patternFill patternType="gray125"/>
    </fill>
    <fill>
      <patternFill patternType="solid">
        <fgColor rgb="FF99CCFF"/>
        <bgColor rgb="FFCCCCFF"/>
      </patternFill>
    </fill>
    <fill>
      <patternFill patternType="solid">
        <fgColor rgb="FFFFFFFF"/>
        <bgColor rgb="FFFFFFCC"/>
      </patternFill>
    </fill>
    <fill>
      <patternFill patternType="solid">
        <fgColor rgb="FFCCCCFF"/>
        <bgColor rgb="FFC0C0C0"/>
      </patternFill>
    </fill>
    <fill>
      <patternFill patternType="solid">
        <fgColor rgb="FFFFCC99"/>
        <bgColor rgb="FFC0C0C0"/>
      </patternFill>
    </fill>
    <fill>
      <patternFill patternType="solid">
        <fgColor rgb="FFFFFF99"/>
        <bgColor rgb="FFFFFFCC"/>
      </patternFill>
    </fill>
    <fill>
      <patternFill patternType="solid">
        <fgColor rgb="FF333399"/>
        <bgColor rgb="FF003366"/>
      </patternFill>
    </fill>
    <fill>
      <patternFill patternType="solid">
        <fgColor rgb="FF33CCCC"/>
        <bgColor rgb="FF00CCFF"/>
      </patternFill>
    </fill>
    <fill>
      <patternFill patternType="solid">
        <fgColor rgb="FFCCFFFF"/>
        <bgColor rgb="FFCCFFFF"/>
      </patternFill>
    </fill>
    <fill>
      <patternFill patternType="solid">
        <fgColor rgb="FFCCFFCC"/>
        <bgColor rgb="FFCCFFFF"/>
      </patternFill>
    </fill>
    <fill>
      <patternFill patternType="solid">
        <fgColor rgb="FFFFFFCC"/>
        <bgColor rgb="FFFFFFFF"/>
      </patternFill>
    </fill>
  </fills>
  <borders count="42">
    <border>
      <left/>
      <right/>
      <top/>
      <bottom/>
      <diagonal/>
    </border>
    <border>
      <left/>
      <right/>
      <top/>
      <bottom style="thin"/>
      <diagonal/>
    </border>
    <border>
      <left style="thin"/>
      <right style="thin"/>
      <top style="thin"/>
      <bottom style="thin"/>
      <diagonal/>
    </border>
    <border>
      <left style="thick">
        <color rgb="FF99CCFF"/>
      </left>
      <right style="thick">
        <color rgb="FF99CCFF"/>
      </right>
      <top style="thick">
        <color rgb="FF99CCFF"/>
      </top>
      <bottom style="thick">
        <color rgb="FF99CCFF"/>
      </bottom>
      <diagonal/>
    </border>
    <border>
      <left style="thin"/>
      <right style="thin"/>
      <top style="thin"/>
      <bottom/>
      <diagonal/>
    </border>
    <border>
      <left style="thin"/>
      <right style="thin"/>
      <top style="dotted"/>
      <bottom style="dotted"/>
      <diagonal/>
    </border>
    <border>
      <left style="thin"/>
      <right style="thin"/>
      <top style="dotted"/>
      <bottom style="thin"/>
      <diagonal/>
    </border>
    <border>
      <left style="thin"/>
      <right/>
      <top style="thin"/>
      <bottom style="thin"/>
      <diagonal/>
    </border>
    <border>
      <left style="thin"/>
      <right style="dotted"/>
      <top style="thin"/>
      <bottom style="thin"/>
      <diagonal/>
    </border>
    <border>
      <left style="dotted"/>
      <right style="thin"/>
      <top style="thin"/>
      <bottom style="thin"/>
      <diagonal/>
    </border>
    <border>
      <left style="thin"/>
      <right style="thin"/>
      <top style="thin"/>
      <bottom style="dotted"/>
      <diagonal/>
    </border>
    <border>
      <left style="thin"/>
      <right/>
      <top style="thin"/>
      <bottom style="dotted"/>
      <diagonal/>
    </border>
    <border>
      <left/>
      <right style="thin"/>
      <top style="thin"/>
      <bottom style="dotted"/>
      <diagonal/>
    </border>
    <border>
      <left style="thin"/>
      <right style="dotted"/>
      <top style="thin"/>
      <bottom style="dotted"/>
      <diagonal/>
    </border>
    <border>
      <left style="dotted"/>
      <right style="thin"/>
      <top style="thin"/>
      <bottom style="dotted"/>
      <diagonal/>
    </border>
    <border>
      <left/>
      <right/>
      <top style="thin"/>
      <bottom style="dotted"/>
      <diagonal/>
    </border>
    <border>
      <left style="thin"/>
      <right style="dotted"/>
      <top style="dotted"/>
      <bottom style="dotted"/>
      <diagonal/>
    </border>
    <border>
      <left style="dotted"/>
      <right style="thin"/>
      <top style="dotted"/>
      <bottom style="dotted"/>
      <diagonal/>
    </border>
    <border>
      <left/>
      <right/>
      <top style="dotted"/>
      <bottom style="dotted"/>
      <diagonal/>
    </border>
    <border>
      <left style="thin"/>
      <right style="dotted"/>
      <top style="dotted"/>
      <bottom style="thin"/>
      <diagonal/>
    </border>
    <border>
      <left style="dotted"/>
      <right style="thin"/>
      <top style="dotted"/>
      <bottom style="thin"/>
      <diagonal/>
    </border>
    <border>
      <left/>
      <right/>
      <top style="dotted"/>
      <bottom style="thin"/>
      <diagonal/>
    </border>
    <border>
      <left/>
      <right/>
      <top/>
      <bottom style="dotted"/>
      <diagonal/>
    </border>
    <border>
      <left style="thin"/>
      <right style="thin"/>
      <top style="dotted"/>
      <bottom/>
      <diagonal/>
    </border>
    <border>
      <left style="thin"/>
      <right style="thin"/>
      <top style="dotted"/>
      <bottom style="double"/>
      <diagonal/>
    </border>
    <border>
      <left/>
      <right style="thin"/>
      <top/>
      <bottom/>
      <diagonal/>
    </border>
    <border>
      <left style="thin"/>
      <right/>
      <top/>
      <bottom/>
      <diagonal/>
    </border>
    <border>
      <left/>
      <right style="thin"/>
      <top style="thin"/>
      <bottom style="thin"/>
      <diagonal/>
    </border>
    <border>
      <left/>
      <right/>
      <top style="thin"/>
      <bottom/>
      <diagonal/>
    </border>
    <border>
      <left/>
      <right style="thin"/>
      <top style="thin"/>
      <bottom/>
      <diagonal/>
    </border>
    <border>
      <left style="thin"/>
      <right style="thin"/>
      <top/>
      <bottom/>
      <diagonal/>
    </border>
    <border>
      <left style="thin"/>
      <right style="thin"/>
      <top/>
      <bottom style="thin"/>
      <diagonal/>
    </border>
    <border>
      <left/>
      <right/>
      <top style="thin"/>
      <bottom style="thin"/>
      <diagonal/>
    </border>
    <border>
      <left/>
      <right/>
      <top style="thick">
        <color rgb="FF99CCFF"/>
      </top>
      <bottom/>
      <diagonal/>
    </border>
    <border>
      <left/>
      <right style="thick">
        <color rgb="FF99CCFF"/>
      </right>
      <top style="thick">
        <color rgb="FF99CCFF"/>
      </top>
      <bottom/>
      <diagonal/>
    </border>
    <border>
      <left/>
      <right/>
      <top style="thick">
        <color rgb="FF99CCFF"/>
      </top>
      <bottom style="thick">
        <color rgb="FF99CCFF"/>
      </bottom>
      <diagonal/>
    </border>
    <border>
      <left/>
      <right style="thick">
        <color rgb="FF99CCFF"/>
      </right>
      <top style="thick">
        <color rgb="FF99CCFF"/>
      </top>
      <bottom style="thick">
        <color rgb="FF99CCFF"/>
      </bottom>
      <diagonal/>
    </border>
    <border>
      <left style="thick">
        <color rgb="FF99CCFF"/>
      </left>
      <right/>
      <top/>
      <bottom/>
      <diagonal/>
    </border>
    <border>
      <left style="thick">
        <color rgb="FF99CCFF"/>
      </left>
      <right style="thick">
        <color rgb="FF99CCFF"/>
      </right>
      <top/>
      <bottom/>
      <diagonal/>
    </border>
    <border>
      <left style="thick">
        <color rgb="FF99CCFF"/>
      </left>
      <right style="thick">
        <color rgb="FF99CCFF"/>
      </right>
      <top/>
      <bottom style="thick">
        <color rgb="FF99CCFF"/>
      </bottom>
      <diagonal/>
    </border>
    <border>
      <left style="thin"/>
      <right/>
      <top/>
      <bottom style="thin"/>
      <diagonal/>
    </border>
    <border>
      <left/>
      <right style="thin"/>
      <top/>
      <bottom style="thin"/>
      <diagonal/>
    </border>
  </borders>
  <cellStyleXfs count="11">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xf numFmtId="0" fontId="18" fillId="0" borderId="0"/>
    <xf numFmtId="0" fontId="4"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5" fillId="0" borderId="0" applyAlignment="1">
      <alignment horizontal="general" vertical="bottom"/>
    </xf>
  </cellStyleXfs>
  <cellXfs count="759">
    <xf numFmtId="0" fontId="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center"/>
    </xf>
    <xf numFmtId="0" fontId="6" fillId="0" borderId="0" applyAlignment="1" pivotButton="0" quotePrefix="0" xfId="0">
      <alignment horizontal="left" vertical="center" indent="1"/>
    </xf>
    <xf numFmtId="0" fontId="6" fillId="0" borderId="0" applyAlignment="1" pivotButton="0" quotePrefix="0" xfId="0">
      <alignment horizontal="left" vertical="center" indent="2"/>
    </xf>
    <xf numFmtId="0" fontId="9" fillId="0" borderId="0" applyAlignment="1" pivotButton="0" quotePrefix="0" xfId="0">
      <alignment horizontal="left" vertical="center" indent="2"/>
    </xf>
    <xf numFmtId="0" fontId="9"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0" applyAlignment="1" pivotButton="0" quotePrefix="0" xfId="0">
      <alignment horizontal="center" vertical="bottom"/>
    </xf>
    <xf numFmtId="0" fontId="12" fillId="2" borderId="0" applyAlignment="1" pivotButton="0" quotePrefix="0" xfId="0">
      <alignment horizontal="general" vertical="bottom"/>
    </xf>
    <xf numFmtId="0" fontId="14" fillId="2" borderId="1" applyAlignment="1" pivotButton="0" quotePrefix="0" xfId="0">
      <alignment horizontal="center" vertical="bottom"/>
    </xf>
    <xf numFmtId="0" fontId="15" fillId="2" borderId="0" applyAlignment="1" pivotButton="0" quotePrefix="0" xfId="0">
      <alignment horizontal="general" vertical="bottom"/>
    </xf>
    <xf numFmtId="0" fontId="16" fillId="2" borderId="2" applyAlignment="1" pivotButton="0" quotePrefix="0" xfId="0">
      <alignment horizontal="left" vertical="center"/>
    </xf>
    <xf numFmtId="0" fontId="15" fillId="3" borderId="2" applyAlignment="1" pivotButton="0" quotePrefix="0" xfId="0">
      <alignment horizontal="center" vertical="center"/>
    </xf>
    <xf numFmtId="0" fontId="14" fillId="4" borderId="2" applyAlignment="1" pivotButton="0" quotePrefix="0" xfId="0">
      <alignment horizontal="center" vertical="center"/>
    </xf>
    <xf numFmtId="0" fontId="14" fillId="5" borderId="2" applyAlignment="1" pivotButton="0" quotePrefix="0" xfId="0">
      <alignment horizontal="center" vertical="center" wrapText="1"/>
    </xf>
    <xf numFmtId="0" fontId="14" fillId="2" borderId="2" applyAlignment="1" pivotButton="0" quotePrefix="0" xfId="0">
      <alignment horizontal="center" vertical="center" wrapText="1"/>
    </xf>
    <xf numFmtId="0" fontId="16" fillId="2" borderId="2" applyAlignment="1" pivotButton="0" quotePrefix="0" xfId="0">
      <alignment horizontal="left" vertical="bottom"/>
    </xf>
    <xf numFmtId="164" fontId="15" fillId="3" borderId="2" applyAlignment="1" pivotButton="0" quotePrefix="0" xfId="0">
      <alignment horizontal="center" vertical="bottom"/>
    </xf>
    <xf numFmtId="0" fontId="12" fillId="4" borderId="2" applyAlignment="1" pivotButton="0" quotePrefix="0" xfId="0">
      <alignment horizontal="left" vertical="bottom"/>
    </xf>
    <xf numFmtId="0" fontId="14" fillId="5" borderId="2" applyAlignment="1" pivotButton="0" quotePrefix="0" xfId="0">
      <alignment horizontal="center" vertical="bottom"/>
    </xf>
    <xf numFmtId="0" fontId="14" fillId="2" borderId="2" applyAlignment="1" pivotButton="0" quotePrefix="0" xfId="0">
      <alignment horizontal="center" vertical="bottom"/>
    </xf>
    <xf numFmtId="0" fontId="15" fillId="3" borderId="2" applyAlignment="1" pivotButton="0" quotePrefix="0" xfId="0">
      <alignment horizontal="center" vertical="bottom"/>
    </xf>
    <xf numFmtId="0" fontId="12" fillId="4" borderId="2" applyAlignment="1" pivotButton="0" quotePrefix="0" xfId="0">
      <alignment horizontal="center" vertical="center"/>
    </xf>
    <xf numFmtId="0" fontId="12" fillId="4" borderId="2" applyAlignment="1" pivotButton="0" quotePrefix="0" xfId="0">
      <alignment horizontal="center" vertical="bottom"/>
    </xf>
    <xf numFmtId="0" fontId="16" fillId="2" borderId="2" applyAlignment="1" pivotButton="0" quotePrefix="0" xfId="0">
      <alignment horizontal="general" vertical="bottom"/>
    </xf>
    <xf numFmtId="0" fontId="16" fillId="2" borderId="2" applyAlignment="1" pivotButton="0" quotePrefix="0" xfId="0">
      <alignment horizontal="center" vertical="bottom"/>
    </xf>
    <xf numFmtId="0" fontId="15" fillId="6" borderId="0" applyAlignment="1" pivotButton="0" quotePrefix="0" xfId="0">
      <alignment horizontal="general" vertical="bottom"/>
    </xf>
    <xf numFmtId="0" fontId="12" fillId="6" borderId="0" applyAlignment="1" pivotButton="0" quotePrefix="0" xfId="0">
      <alignment horizontal="general" vertical="bottom"/>
    </xf>
    <xf numFmtId="0" fontId="13" fillId="6" borderId="0" applyAlignment="1" pivotButton="0" quotePrefix="0" xfId="0">
      <alignment horizontal="center" vertical="bottom"/>
    </xf>
    <xf numFmtId="0" fontId="17" fillId="6" borderId="0" applyAlignment="1" pivotButton="0" quotePrefix="0" xfId="20">
      <alignment horizontal="general" vertical="bottom"/>
    </xf>
    <xf numFmtId="0" fontId="13" fillId="6" borderId="0" applyAlignment="1" pivotButton="0" quotePrefix="0" xfId="0">
      <alignment horizontal="general" vertical="bottom"/>
    </xf>
    <xf numFmtId="0" fontId="12" fillId="4" borderId="2" applyAlignment="1" pivotButton="0" quotePrefix="0" xfId="0">
      <alignment horizontal="left" vertical="center"/>
    </xf>
    <xf numFmtId="0" fontId="12" fillId="4" borderId="2" applyAlignment="1" pivotButton="0" quotePrefix="0" xfId="0">
      <alignment horizontal="general" vertical="bottom"/>
    </xf>
    <xf numFmtId="0" fontId="19" fillId="2" borderId="2" applyAlignment="1" pivotButton="0" quotePrefix="0" xfId="0">
      <alignment horizontal="center" vertical="bottom"/>
    </xf>
    <xf numFmtId="0" fontId="19" fillId="2" borderId="2" applyAlignment="1" pivotButton="0" quotePrefix="0" xfId="0">
      <alignment horizontal="center" vertical="bottom"/>
    </xf>
    <xf numFmtId="0" fontId="20" fillId="2" borderId="2" applyAlignment="1" pivotButton="0" quotePrefix="0" xfId="0">
      <alignment horizontal="center" vertical="bottom"/>
    </xf>
    <xf numFmtId="0" fontId="21" fillId="2" borderId="2" applyAlignment="1" pivotButton="0" quotePrefix="0" xfId="0">
      <alignment horizontal="general" vertical="bottom"/>
    </xf>
    <xf numFmtId="164" fontId="21" fillId="2" borderId="2" applyAlignment="1" pivotButton="0" quotePrefix="0" xfId="0">
      <alignment horizontal="center" vertical="bottom"/>
    </xf>
    <xf numFmtId="165" fontId="21" fillId="2" borderId="2" applyAlignment="1" pivotButton="0" quotePrefix="0" xfId="19">
      <alignment horizontal="center" vertical="bottom"/>
    </xf>
    <xf numFmtId="0" fontId="14" fillId="0" borderId="0" applyAlignment="1" pivotButton="0" quotePrefix="0" xfId="0">
      <alignment horizontal="general" vertical="bottom"/>
    </xf>
    <xf numFmtId="0" fontId="22" fillId="0" borderId="0" applyAlignment="1" pivotButton="0" quotePrefix="0" xfId="0">
      <alignment horizontal="general" vertical="bottom"/>
    </xf>
    <xf numFmtId="0" fontId="23" fillId="7" borderId="3" applyAlignment="1" pivotButton="0" quotePrefix="0" xfId="0">
      <alignment horizontal="center" vertical="center"/>
    </xf>
    <xf numFmtId="0" fontId="24" fillId="2" borderId="3" applyAlignment="1" pivotButton="0" quotePrefix="0" xfId="0">
      <alignment horizontal="general" vertical="bottom"/>
    </xf>
    <xf numFmtId="0" fontId="22" fillId="2" borderId="3" applyAlignment="1" pivotButton="0" quotePrefix="0" xfId="0">
      <alignment horizontal="general" vertical="bottom"/>
    </xf>
    <xf numFmtId="49" fontId="25" fillId="3" borderId="3" applyAlignment="1" pivotButton="0" quotePrefix="0" xfId="0">
      <alignment horizontal="left" vertical="bottom"/>
    </xf>
    <xf numFmtId="0" fontId="25" fillId="3" borderId="3" applyAlignment="1" pivotButton="0" quotePrefix="0" xfId="0">
      <alignment horizontal="left" vertical="bottom"/>
    </xf>
    <xf numFmtId="0" fontId="25" fillId="3" borderId="3" applyAlignment="1" pivotButton="0" quotePrefix="0" xfId="0">
      <alignment horizontal="general" vertical="bottom"/>
    </xf>
    <xf numFmtId="0" fontId="25" fillId="2" borderId="3" applyAlignment="1" pivotButton="0" quotePrefix="0" xfId="0">
      <alignment horizontal="general" vertical="bottom"/>
    </xf>
    <xf numFmtId="166" fontId="25" fillId="3" borderId="3" applyAlignment="1" pivotButton="0" quotePrefix="0" xfId="0">
      <alignment horizontal="left" vertical="bottom"/>
    </xf>
    <xf numFmtId="49" fontId="25" fillId="3" borderId="3" applyAlignment="1" pivotButton="0" quotePrefix="0" xfId="0">
      <alignment horizontal="general" vertical="bottom"/>
    </xf>
    <xf numFmtId="49" fontId="25" fillId="3" borderId="3" applyAlignment="1" pivotButton="0" quotePrefix="0" xfId="0">
      <alignment horizontal="left" vertical="top" wrapText="1"/>
    </xf>
    <xf numFmtId="49" fontId="25" fillId="3" borderId="3" applyAlignment="1" pivotButton="0" quotePrefix="0" xfId="0">
      <alignment horizontal="left" vertical="top"/>
    </xf>
    <xf numFmtId="0" fontId="25" fillId="2" borderId="3" applyAlignment="1" pivotButton="0" quotePrefix="0" xfId="0">
      <alignment horizontal="general" vertical="top"/>
    </xf>
    <xf numFmtId="0" fontId="25" fillId="3" borderId="3" applyAlignment="1" pivotButton="0" quotePrefix="0" xfId="0">
      <alignment horizontal="general" vertical="top"/>
    </xf>
    <xf numFmtId="0" fontId="6" fillId="0" borderId="0" applyAlignment="1" pivotButton="0" quotePrefix="0" xfId="0">
      <alignment horizontal="center" vertical="center"/>
    </xf>
    <xf numFmtId="167" fontId="6" fillId="0" borderId="0" applyAlignment="1" pivotButton="0" quotePrefix="0" xfId="0">
      <alignment horizontal="general" vertical="bottom"/>
    </xf>
    <xf numFmtId="0" fontId="6" fillId="0" borderId="0" applyAlignment="1" pivotButton="0" quotePrefix="0" xfId="0">
      <alignment horizontal="general" vertical="bottom"/>
    </xf>
    <xf numFmtId="0" fontId="6" fillId="8" borderId="0" applyAlignment="1" pivotButton="0" quotePrefix="0" xfId="0">
      <alignment horizontal="general" vertical="bottom"/>
    </xf>
    <xf numFmtId="167" fontId="6" fillId="8" borderId="0" applyAlignment="1" pivotButton="0" quotePrefix="0" xfId="0">
      <alignment horizontal="general" vertical="bottom"/>
    </xf>
    <xf numFmtId="0" fontId="24" fillId="0" borderId="2" applyAlignment="1" applyProtection="1" pivotButton="0" quotePrefix="0" xfId="0">
      <alignment horizontal="center" vertical="center" wrapText="1"/>
      <protection locked="0" hidden="0"/>
    </xf>
    <xf numFmtId="167" fontId="24" fillId="0" borderId="2" applyAlignment="1" applyProtection="1" pivotButton="0" quotePrefix="0" xfId="0">
      <alignment horizontal="center" vertical="center" wrapText="1"/>
      <protection locked="0" hidden="0"/>
    </xf>
    <xf numFmtId="0" fontId="24" fillId="8" borderId="2" applyAlignment="1" applyProtection="1" pivotButton="0" quotePrefix="0" xfId="0">
      <alignment horizontal="center" vertical="center" wrapText="1"/>
      <protection locked="0" hidden="0"/>
    </xf>
    <xf numFmtId="0" fontId="8" fillId="0" borderId="2" applyAlignment="1" applyProtection="1" pivotButton="0" quotePrefix="0" xfId="0">
      <alignment horizontal="center" vertical="center" wrapText="1"/>
      <protection locked="0" hidden="0"/>
    </xf>
    <xf numFmtId="0" fontId="8" fillId="0" borderId="2" applyAlignment="1" applyProtection="1" pivotButton="0" quotePrefix="0" xfId="0">
      <alignment horizontal="center" vertical="center"/>
      <protection locked="0" hidden="0"/>
    </xf>
    <xf numFmtId="0" fontId="8" fillId="5" borderId="2" applyAlignment="1" applyProtection="1" pivotButton="0" quotePrefix="0" xfId="0">
      <alignment horizontal="center" vertical="center"/>
      <protection locked="0" hidden="0"/>
    </xf>
    <xf numFmtId="167" fontId="24" fillId="8" borderId="2" applyAlignment="1" applyProtection="1" pivotButton="0" quotePrefix="0" xfId="0">
      <alignment horizontal="center" vertical="center" wrapText="1"/>
      <protection locked="0" hidden="0"/>
    </xf>
    <xf numFmtId="0" fontId="24" fillId="0" borderId="2" applyAlignment="1" applyProtection="1" pivotButton="0" quotePrefix="0" xfId="0">
      <alignment horizontal="center" vertical="center"/>
      <protection locked="0" hidden="0"/>
    </xf>
    <xf numFmtId="0" fontId="24" fillId="0" borderId="2" applyAlignment="1" applyProtection="1" pivotButton="0" quotePrefix="0" xfId="0">
      <alignment horizontal="center" vertical="center"/>
      <protection locked="0" hidden="0"/>
    </xf>
    <xf numFmtId="0" fontId="22" fillId="0" borderId="0" applyAlignment="1" pivotButton="0" quotePrefix="0" xfId="0">
      <alignment horizontal="general" vertical="bottom"/>
    </xf>
    <xf numFmtId="0" fontId="24" fillId="0" borderId="4" applyAlignment="1" applyProtection="1" pivotButton="0" quotePrefix="0" xfId="0">
      <alignment horizontal="center" vertical="center" wrapText="1"/>
      <protection locked="0" hidden="0"/>
    </xf>
    <xf numFmtId="0" fontId="24" fillId="8" borderId="4" applyAlignment="1" applyProtection="1" pivotButton="0" quotePrefix="0" xfId="0">
      <alignment horizontal="center" vertical="center" wrapText="1"/>
      <protection locked="0" hidden="0"/>
    </xf>
    <xf numFmtId="0" fontId="27" fillId="5" borderId="2" applyAlignment="1" pivotButton="0" quotePrefix="0" xfId="0">
      <alignment horizontal="center" vertical="center"/>
    </xf>
    <xf numFmtId="168" fontId="22" fillId="0" borderId="2" applyAlignment="1" applyProtection="1" pivotButton="0" quotePrefix="0" xfId="0">
      <alignment horizontal="center" vertical="center"/>
      <protection locked="0" hidden="0"/>
    </xf>
    <xf numFmtId="0" fontId="28" fillId="0" borderId="2" applyAlignment="1" pivotButton="0" quotePrefix="0" xfId="0">
      <alignment horizontal="left" vertical="center"/>
    </xf>
    <xf numFmtId="166" fontId="28" fillId="0" borderId="2" applyAlignment="1" pivotButton="0" quotePrefix="0" xfId="0">
      <alignment horizontal="center" vertical="center" wrapText="1"/>
    </xf>
    <xf numFmtId="169" fontId="28" fillId="0" borderId="2" applyAlignment="1" pivotButton="0" quotePrefix="0" xfId="0">
      <alignment horizontal="center" vertical="center" wrapText="1"/>
    </xf>
    <xf numFmtId="49" fontId="28"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28" fillId="8" borderId="2" applyAlignment="1" pivotButton="0" quotePrefix="0" xfId="0">
      <alignment horizontal="center" vertical="center" wrapText="1"/>
    </xf>
    <xf numFmtId="0" fontId="29" fillId="0" borderId="2" applyAlignment="1" pivotButton="0" quotePrefix="0" xfId="0">
      <alignment horizontal="center" vertical="center"/>
    </xf>
    <xf numFmtId="0" fontId="30" fillId="0" borderId="2" applyAlignment="1" applyProtection="1" pivotButton="0" quotePrefix="0" xfId="0">
      <alignment horizontal="left" vertical="bottom"/>
      <protection locked="0" hidden="0"/>
    </xf>
    <xf numFmtId="0" fontId="30" fillId="8" borderId="2" applyAlignment="1" applyProtection="1" pivotButton="0" quotePrefix="0" xfId="0">
      <alignment horizontal="center" vertical="bottom"/>
      <protection locked="1" hidden="1"/>
    </xf>
    <xf numFmtId="0" fontId="31" fillId="0" borderId="2" applyAlignment="1" pivotButton="0" quotePrefix="0" xfId="0">
      <alignment horizontal="center" vertical="center" wrapText="1"/>
    </xf>
    <xf numFmtId="0" fontId="31" fillId="5" borderId="2" applyAlignment="1" pivotButton="0" quotePrefix="0" xfId="0">
      <alignment horizontal="center" vertical="center" wrapText="1"/>
    </xf>
    <xf numFmtId="0" fontId="22" fillId="8" borderId="2" applyAlignment="1" applyProtection="1" pivotButton="0" quotePrefix="0" xfId="0">
      <alignment horizontal="center" vertical="center"/>
      <protection locked="1" hidden="1"/>
    </xf>
    <xf numFmtId="0" fontId="22" fillId="8" borderId="2" applyAlignment="1" applyProtection="1" pivotButton="0" quotePrefix="0" xfId="0">
      <alignment horizontal="center" vertical="center"/>
      <protection locked="0" hidden="0"/>
    </xf>
    <xf numFmtId="0" fontId="28" fillId="8" borderId="2" applyAlignment="1" pivotButton="0" quotePrefix="0" xfId="0">
      <alignment horizontal="center" vertical="center" wrapText="1"/>
    </xf>
    <xf numFmtId="0" fontId="22" fillId="0" borderId="2" applyAlignment="1" applyProtection="1" pivotButton="0" quotePrefix="0" xfId="0">
      <alignment horizontal="center" vertical="center"/>
      <protection locked="1" hidden="1"/>
    </xf>
    <xf numFmtId="0" fontId="12" fillId="0" borderId="2" applyAlignment="1" applyProtection="1" pivotButton="0" quotePrefix="0" xfId="0">
      <alignment horizontal="general" vertical="bottom"/>
      <protection locked="1" hidden="1"/>
    </xf>
    <xf numFmtId="0" fontId="22" fillId="0" borderId="2" applyAlignment="1" applyProtection="1" pivotButton="0" quotePrefix="0" xfId="0">
      <alignment horizontal="center" vertical="center"/>
      <protection locked="1" hidden="1"/>
    </xf>
    <xf numFmtId="0" fontId="22" fillId="0" borderId="0" applyAlignment="1" pivotButton="0" quotePrefix="0" xfId="0">
      <alignment horizontal="center" vertical="center"/>
    </xf>
    <xf numFmtId="0" fontId="22" fillId="0" borderId="0" applyAlignment="1" pivotButton="0" quotePrefix="0" xfId="0">
      <alignment horizontal="center" vertical="center"/>
    </xf>
    <xf numFmtId="168" fontId="22" fillId="0" borderId="0" applyAlignment="1" applyProtection="1" pivotButton="0" quotePrefix="0" xfId="0">
      <alignment horizontal="center" vertical="center"/>
      <protection locked="0" hidden="0"/>
    </xf>
    <xf numFmtId="0" fontId="28" fillId="0" borderId="0" applyAlignment="1" pivotButton="0" quotePrefix="0" xfId="0">
      <alignment horizontal="left" vertical="center"/>
    </xf>
    <xf numFmtId="0" fontId="30" fillId="0" borderId="2" applyAlignment="1" applyProtection="1" pivotButton="0" quotePrefix="0" xfId="0">
      <alignment horizontal="center" vertical="bottom"/>
      <protection locked="0" hidden="0"/>
    </xf>
    <xf numFmtId="168" fontId="22" fillId="0" borderId="2" applyAlignment="1" applyProtection="1" pivotButton="0" quotePrefix="0" xfId="0">
      <alignment horizontal="left" vertical="center"/>
      <protection locked="0" hidden="0"/>
    </xf>
    <xf numFmtId="0" fontId="30" fillId="0" borderId="2" applyAlignment="1" applyProtection="1" pivotButton="0" quotePrefix="0" xfId="0">
      <alignment horizontal="center" vertical="bottom"/>
      <protection locked="0" hidden="0"/>
    </xf>
    <xf numFmtId="49" fontId="30" fillId="0" borderId="2" applyAlignment="1" applyProtection="1" pivotButton="0" quotePrefix="0" xfId="0">
      <alignment horizontal="center" vertical="bottom"/>
      <protection locked="0" hidden="0"/>
    </xf>
    <xf numFmtId="0" fontId="30" fillId="8" borderId="2" applyAlignment="1" applyProtection="1" pivotButton="0" quotePrefix="0" xfId="0">
      <alignment horizontal="center" vertical="bottom"/>
      <protection locked="1" hidden="1"/>
    </xf>
    <xf numFmtId="0" fontId="31" fillId="0" borderId="2" applyAlignment="1" applyProtection="1" pivotButton="0" quotePrefix="0" xfId="0">
      <alignment horizontal="left" vertical="bottom"/>
      <protection locked="0" hidden="0"/>
    </xf>
    <xf numFmtId="0" fontId="31" fillId="0" borderId="2" applyAlignment="1" applyProtection="1" pivotButton="0" quotePrefix="0" xfId="0">
      <alignment horizontal="left" vertical="center"/>
      <protection locked="0" hidden="0"/>
    </xf>
    <xf numFmtId="0" fontId="31" fillId="5" borderId="2" applyAlignment="1" applyProtection="1" pivotButton="0" quotePrefix="0" xfId="0">
      <alignment horizontal="left" vertical="center"/>
      <protection locked="0" hidden="0"/>
    </xf>
    <xf numFmtId="0" fontId="30" fillId="8" borderId="2" applyAlignment="1" applyProtection="1" pivotButton="0" quotePrefix="0" xfId="0">
      <alignment horizontal="center" vertical="bottom"/>
      <protection locked="0" hidden="0"/>
    </xf>
    <xf numFmtId="170" fontId="30" fillId="0" borderId="2" applyAlignment="1" applyProtection="1" pivotButton="0" quotePrefix="0" xfId="0">
      <alignment horizontal="center" vertical="bottom"/>
      <protection locked="0" hidden="0"/>
    </xf>
    <xf numFmtId="0" fontId="31" fillId="0" borderId="2" applyAlignment="1" applyProtection="1" pivotButton="0" quotePrefix="0" xfId="0">
      <alignment horizontal="center" vertical="bottom"/>
      <protection locked="0" hidden="0"/>
    </xf>
    <xf numFmtId="0" fontId="31" fillId="0" borderId="2" applyAlignment="1" applyProtection="1" pivotButton="0" quotePrefix="0" xfId="0">
      <alignment horizontal="general" vertical="center"/>
      <protection locked="0" hidden="0"/>
    </xf>
    <xf numFmtId="0" fontId="31" fillId="5" borderId="2" applyAlignment="1" applyProtection="1" pivotButton="0" quotePrefix="0" xfId="0">
      <alignment horizontal="general" vertical="center"/>
      <protection locked="0" hidden="0"/>
    </xf>
    <xf numFmtId="0" fontId="32" fillId="8" borderId="2" applyAlignment="1" applyProtection="1" pivotButton="0" quotePrefix="0" xfId="0">
      <alignment horizontal="center" vertical="center"/>
      <protection locked="0" hidden="0"/>
    </xf>
    <xf numFmtId="0" fontId="32" fillId="8" borderId="2" applyAlignment="1" applyProtection="1" pivotButton="0" quotePrefix="0" xfId="0">
      <alignment horizontal="center" vertical="center"/>
      <protection locked="1" hidden="1"/>
    </xf>
    <xf numFmtId="0" fontId="32" fillId="0" borderId="2" applyAlignment="1" applyProtection="1" pivotButton="0" quotePrefix="0" xfId="0">
      <alignment horizontal="center" vertical="center"/>
      <protection locked="1" hidden="1"/>
    </xf>
    <xf numFmtId="0" fontId="32" fillId="0" borderId="0" applyAlignment="1" pivotButton="0" quotePrefix="0" xfId="0">
      <alignment horizontal="center" vertical="center"/>
    </xf>
    <xf numFmtId="49" fontId="6" fillId="0" borderId="0" applyAlignment="1" pivotButton="0" quotePrefix="0" xfId="0">
      <alignment horizontal="general" vertical="bottom"/>
    </xf>
    <xf numFmtId="0" fontId="6" fillId="5" borderId="0" applyAlignment="1" pivotButton="0" quotePrefix="0" xfId="0">
      <alignment horizontal="general" vertical="bottom"/>
    </xf>
    <xf numFmtId="0" fontId="6" fillId="0" borderId="0" applyAlignment="1" pivotButton="0" quotePrefix="0" xfId="23">
      <alignment horizontal="general" vertical="bottom"/>
    </xf>
    <xf numFmtId="0" fontId="6" fillId="0" borderId="0" applyAlignment="1" pivotButton="0" quotePrefix="0" xfId="23">
      <alignment horizontal="center" vertical="bottom"/>
    </xf>
    <xf numFmtId="0" fontId="33" fillId="0" borderId="0" applyAlignment="1" pivotButton="0" quotePrefix="0" xfId="23">
      <alignment horizontal="general" vertical="bottom"/>
    </xf>
    <xf numFmtId="0" fontId="33" fillId="0" borderId="0" applyAlignment="1" pivotButton="0" quotePrefix="0" xfId="23">
      <alignment horizontal="center" vertical="bottom"/>
    </xf>
    <xf numFmtId="0" fontId="24" fillId="0" borderId="0" applyAlignment="1" pivotButton="0" quotePrefix="0" xfId="23">
      <alignment horizontal="center" vertical="bottom"/>
    </xf>
    <xf numFmtId="0" fontId="34" fillId="0" borderId="0" applyAlignment="1" pivotButton="0" quotePrefix="0" xfId="23">
      <alignment horizontal="general" vertical="bottom"/>
    </xf>
    <xf numFmtId="167" fontId="34" fillId="0" borderId="0" applyAlignment="1" pivotButton="0" quotePrefix="0" xfId="23">
      <alignment horizontal="general" vertical="bottom"/>
    </xf>
    <xf numFmtId="0" fontId="34" fillId="0" borderId="0" applyAlignment="1" pivotButton="0" quotePrefix="0" xfId="23">
      <alignment horizontal="center" vertical="bottom"/>
    </xf>
    <xf numFmtId="167" fontId="34" fillId="0" borderId="0" applyAlignment="1" pivotButton="0" quotePrefix="0" xfId="23">
      <alignment horizontal="center" vertical="bottom"/>
    </xf>
    <xf numFmtId="0" fontId="35" fillId="0" borderId="0" applyAlignment="1" pivotButton="0" quotePrefix="0" xfId="23">
      <alignment horizontal="center" vertical="bottom"/>
    </xf>
    <xf numFmtId="0" fontId="24" fillId="0" borderId="0" applyAlignment="1" pivotButton="0" quotePrefix="0" xfId="23">
      <alignment horizontal="center" vertical="bottom"/>
    </xf>
    <xf numFmtId="171" fontId="36" fillId="0" borderId="0" applyAlignment="1" pivotButton="0" quotePrefix="0" xfId="23">
      <alignment horizontal="center" vertical="bottom"/>
    </xf>
    <xf numFmtId="0" fontId="8" fillId="0" borderId="2" applyAlignment="1" pivotButton="0" quotePrefix="0" xfId="23">
      <alignment horizontal="center" vertical="center" wrapText="1"/>
    </xf>
    <xf numFmtId="0" fontId="8" fillId="0" borderId="2" applyAlignment="1" pivotButton="0" quotePrefix="0" xfId="23">
      <alignment horizontal="center" vertical="center"/>
    </xf>
    <xf numFmtId="167" fontId="8" fillId="0" borderId="2" applyAlignment="1" pivotButton="0" quotePrefix="0" xfId="23">
      <alignment horizontal="center" vertical="center" wrapText="1"/>
    </xf>
    <xf numFmtId="0" fontId="32" fillId="0" borderId="0" applyAlignment="1" pivotButton="0" quotePrefix="0" xfId="0">
      <alignment horizontal="general" vertical="bottom"/>
    </xf>
    <xf numFmtId="168" fontId="37" fillId="0" borderId="5" applyAlignment="1" pivotButton="0" quotePrefix="0" xfId="0">
      <alignment horizontal="center" vertical="center"/>
    </xf>
    <xf numFmtId="172" fontId="28"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28" fillId="0" borderId="2" applyAlignment="1" pivotButton="0" quotePrefix="0" xfId="0">
      <alignment horizontal="center" vertical="center"/>
    </xf>
    <xf numFmtId="168" fontId="22" fillId="0" borderId="5" applyAlignment="1" pivotButton="0" quotePrefix="0" xfId="0">
      <alignment horizontal="center" vertical="center"/>
    </xf>
    <xf numFmtId="0" fontId="30" fillId="0" borderId="5" applyAlignment="1" pivotButton="0" quotePrefix="0" xfId="0">
      <alignment horizontal="center" vertical="bottom"/>
    </xf>
    <xf numFmtId="0" fontId="22" fillId="0" borderId="5" applyAlignment="1" pivotButton="0" quotePrefix="0" xfId="0">
      <alignment horizontal="center" vertical="center"/>
    </xf>
    <xf numFmtId="168" fontId="22" fillId="0" borderId="6" applyAlignment="1" pivotButton="0" quotePrefix="0" xfId="0">
      <alignment horizontal="center" vertical="center"/>
    </xf>
    <xf numFmtId="0" fontId="30" fillId="0" borderId="6" applyAlignment="1" pivotButton="0" quotePrefix="0" xfId="0">
      <alignment horizontal="center" vertical="bottom"/>
    </xf>
    <xf numFmtId="0" fontId="22" fillId="0" borderId="6" applyAlignment="1" pivotButton="0" quotePrefix="0" xfId="0">
      <alignment horizontal="center" vertical="center"/>
    </xf>
    <xf numFmtId="168" fontId="22" fillId="0" borderId="2" applyAlignment="1" pivotButton="0" quotePrefix="0" xfId="0">
      <alignment horizontal="center" vertical="center"/>
    </xf>
    <xf numFmtId="0" fontId="30" fillId="0" borderId="7" applyAlignment="1" pivotButton="0" quotePrefix="0" xfId="0">
      <alignment horizontal="general" vertical="bottom"/>
    </xf>
    <xf numFmtId="0" fontId="30" fillId="0" borderId="2" applyAlignment="1" pivotButton="0" quotePrefix="0" xfId="0">
      <alignment horizontal="center" vertical="bottom"/>
    </xf>
    <xf numFmtId="0" fontId="30" fillId="0" borderId="2" applyAlignment="1" pivotButton="0" quotePrefix="0" xfId="0">
      <alignment horizontal="center" vertical="bottom"/>
    </xf>
    <xf numFmtId="0" fontId="30" fillId="0" borderId="2" applyAlignment="1" pivotButton="0" quotePrefix="0" xfId="0">
      <alignment horizontal="general" vertical="center"/>
    </xf>
    <xf numFmtId="0" fontId="32" fillId="0" borderId="2" applyAlignment="1" pivotButton="0" quotePrefix="0" xfId="0">
      <alignment horizontal="center" vertical="center"/>
    </xf>
    <xf numFmtId="0" fontId="38" fillId="0" borderId="0" applyAlignment="1" pivotButton="0" quotePrefix="0" xfId="23">
      <alignment horizontal="general" vertical="top"/>
    </xf>
    <xf numFmtId="0" fontId="10" fillId="0" borderId="0" applyAlignment="1" pivotButton="0" quotePrefix="0" xfId="23">
      <alignment horizontal="general" vertical="top"/>
    </xf>
    <xf numFmtId="0" fontId="10" fillId="0" borderId="0" applyAlignment="1" pivotButton="0" quotePrefix="0" xfId="23">
      <alignment horizontal="general" vertical="bottom"/>
    </xf>
    <xf numFmtId="0" fontId="39" fillId="0" borderId="0" applyAlignment="1" pivotButton="0" quotePrefix="0" xfId="0">
      <alignment horizontal="general" vertical="center"/>
    </xf>
    <xf numFmtId="0" fontId="10" fillId="0" borderId="0" applyAlignment="1" pivotButton="0" quotePrefix="0" xfId="0">
      <alignment horizontal="center" vertical="center"/>
    </xf>
    <xf numFmtId="0" fontId="38" fillId="0" borderId="0" applyAlignment="1" pivotButton="0" quotePrefix="0" xfId="23">
      <alignment horizontal="left" vertical="top"/>
    </xf>
    <xf numFmtId="0" fontId="10" fillId="0" borderId="0" applyAlignment="1" pivotButton="0" quotePrefix="0" xfId="23">
      <alignment horizontal="left" vertical="top"/>
    </xf>
    <xf numFmtId="0" fontId="10" fillId="0" borderId="0" applyAlignment="1" pivotButton="0" quotePrefix="0" xfId="23">
      <alignment horizontal="left" vertical="center" wrapText="1"/>
    </xf>
    <xf numFmtId="0" fontId="39" fillId="0" borderId="0" applyAlignment="1" pivotButton="0" quotePrefix="0" xfId="0">
      <alignment horizontal="center" vertical="center"/>
    </xf>
    <xf numFmtId="0" fontId="10" fillId="0" borderId="0" applyAlignment="1" pivotButton="0" quotePrefix="0" xfId="23">
      <alignment horizontal="right" vertical="top"/>
    </xf>
    <xf numFmtId="0" fontId="39"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pivotButton="0" quotePrefix="0" xfId="0">
      <alignment horizontal="general" vertical="bottom"/>
    </xf>
    <xf numFmtId="167" fontId="10" fillId="0" borderId="0" applyAlignment="1" pivotButton="0" quotePrefix="0" xfId="0">
      <alignment horizontal="general" vertical="bottom"/>
    </xf>
    <xf numFmtId="0" fontId="10" fillId="0" borderId="0" applyAlignment="1" pivotButton="0" quotePrefix="0" xfId="0">
      <alignment horizontal="general" vertical="bottom"/>
    </xf>
    <xf numFmtId="0" fontId="39" fillId="0" borderId="0" applyAlignment="1" pivotButton="0" quotePrefix="0" xfId="0">
      <alignment horizontal="general" vertical="bottom"/>
    </xf>
    <xf numFmtId="0" fontId="40" fillId="0" borderId="0" applyAlignment="1" pivotButton="0" quotePrefix="0" xfId="0">
      <alignment horizontal="center" vertical="bottom"/>
    </xf>
    <xf numFmtId="0" fontId="41" fillId="0" borderId="0" applyAlignment="1" pivotButton="0" quotePrefix="0" xfId="0">
      <alignment horizontal="general" vertical="bottom"/>
    </xf>
    <xf numFmtId="0" fontId="42" fillId="0" borderId="0" applyAlignment="1" pivotButton="0" quotePrefix="0" xfId="23">
      <alignment horizontal="center" vertical="bottom"/>
    </xf>
    <xf numFmtId="0" fontId="33" fillId="0" borderId="0" applyAlignment="1" pivotButton="0" quotePrefix="0" xfId="23">
      <alignment horizontal="center" vertical="center"/>
    </xf>
    <xf numFmtId="0" fontId="33" fillId="0" borderId="0" applyAlignment="1" pivotButton="0" quotePrefix="0" xfId="23">
      <alignment horizontal="general" vertical="center"/>
    </xf>
    <xf numFmtId="170" fontId="28" fillId="0" borderId="2" applyAlignment="1" pivotButton="0" quotePrefix="0" xfId="0">
      <alignment horizontal="center" vertical="center" wrapText="1"/>
    </xf>
    <xf numFmtId="173" fontId="30" fillId="0" borderId="5" applyAlignment="1" pivotButton="0" quotePrefix="0" xfId="0">
      <alignment horizontal="center" vertical="bottom"/>
    </xf>
    <xf numFmtId="173" fontId="30" fillId="0" borderId="6" applyAlignment="1" pivotButton="0" quotePrefix="0" xfId="0">
      <alignment horizontal="center" vertical="bottom"/>
    </xf>
    <xf numFmtId="170" fontId="30" fillId="0" borderId="2" applyAlignment="1" pivotButton="0" quotePrefix="0" xfId="0">
      <alignment horizontal="center" vertical="bottom"/>
    </xf>
    <xf numFmtId="0" fontId="33" fillId="0" borderId="0" applyAlignment="1" pivotButton="0" quotePrefix="0" xfId="23">
      <alignment horizontal="center" vertical="center"/>
    </xf>
    <xf numFmtId="0" fontId="6" fillId="0" borderId="0" applyAlignment="1" pivotButton="0" quotePrefix="0" xfId="0">
      <alignment horizontal="center" vertical="center"/>
    </xf>
    <xf numFmtId="167" fontId="6" fillId="0" borderId="0" applyAlignment="1" pivotButton="0" quotePrefix="0" xfId="0">
      <alignment horizontal="general" vertical="bottom"/>
    </xf>
    <xf numFmtId="0" fontId="6" fillId="0" borderId="0" applyAlignment="1" pivotButton="0" quotePrefix="0" xfId="0">
      <alignment horizontal="left" vertical="bottom"/>
    </xf>
    <xf numFmtId="0" fontId="43" fillId="0" borderId="0" applyAlignment="1" pivotButton="0" quotePrefix="0" xfId="0">
      <alignment horizontal="center" vertical="center"/>
    </xf>
    <xf numFmtId="0" fontId="43" fillId="0" borderId="0" applyAlignment="1" pivotButton="0" quotePrefix="0" xfId="0">
      <alignment horizontal="general" vertical="center"/>
    </xf>
    <xf numFmtId="0" fontId="43" fillId="0" borderId="0" applyAlignment="1" pivotButton="0" quotePrefix="0" xfId="0">
      <alignment horizontal="right" vertical="center"/>
    </xf>
    <xf numFmtId="0" fontId="8" fillId="0" borderId="2" applyAlignment="1" pivotButton="0" quotePrefix="0" xfId="0">
      <alignment horizontal="center" vertical="center" wrapText="1"/>
    </xf>
    <xf numFmtId="0" fontId="8" fillId="0" borderId="2" applyAlignment="1" pivotButton="0" quotePrefix="0" xfId="0">
      <alignment horizontal="center" vertical="center"/>
    </xf>
    <xf numFmtId="167" fontId="8" fillId="0" borderId="2" applyAlignment="1" pivotButton="0" quotePrefix="0" xfId="0">
      <alignment horizontal="center" vertical="center" wrapText="1"/>
    </xf>
    <xf numFmtId="0" fontId="8" fillId="0" borderId="2" applyAlignment="1" pivotButton="0" quotePrefix="0" xfId="0">
      <alignment horizontal="center" vertical="bottom"/>
    </xf>
    <xf numFmtId="0" fontId="6" fillId="0" borderId="8" applyAlignment="1" pivotButton="0" quotePrefix="0" xfId="0">
      <alignment horizontal="center" vertical="bottom"/>
    </xf>
    <xf numFmtId="0" fontId="6" fillId="0" borderId="9" applyAlignment="1" pivotButton="0" quotePrefix="0" xfId="0">
      <alignment horizontal="center" vertical="bottom"/>
    </xf>
    <xf numFmtId="168" fontId="6" fillId="0" borderId="10" applyAlignment="1" pivotButton="0" quotePrefix="0" xfId="0">
      <alignment horizontal="center" vertical="center"/>
    </xf>
    <xf numFmtId="0" fontId="30" fillId="0" borderId="11" applyAlignment="1" pivotButton="0" quotePrefix="0" xfId="0">
      <alignment horizontal="general" vertical="bottom"/>
    </xf>
    <xf numFmtId="0" fontId="30" fillId="0" borderId="12" applyAlignment="1" pivotButton="0" quotePrefix="0" xfId="0">
      <alignment horizontal="general" vertical="bottom"/>
    </xf>
    <xf numFmtId="0" fontId="30" fillId="0" borderId="12" applyAlignment="1" pivotButton="0" quotePrefix="0" xfId="0">
      <alignment horizontal="general" vertical="bottom"/>
    </xf>
    <xf numFmtId="0" fontId="30" fillId="0" borderId="10" applyAlignment="1" pivotButton="0" quotePrefix="0" xfId="0">
      <alignment horizontal="left" vertical="center"/>
    </xf>
    <xf numFmtId="0" fontId="6" fillId="0" borderId="13" applyAlignment="1" pivotButton="0" quotePrefix="0" xfId="0">
      <alignment horizontal="general" vertical="bottom"/>
    </xf>
    <xf numFmtId="0" fontId="6" fillId="0" borderId="14" applyAlignment="1" pivotButton="0" quotePrefix="0" xfId="0">
      <alignment horizontal="general" vertical="bottom"/>
    </xf>
    <xf numFmtId="0" fontId="6" fillId="0" borderId="15" applyAlignment="1" pivotButton="0" quotePrefix="0" xfId="0">
      <alignment horizontal="general" vertical="bottom"/>
    </xf>
    <xf numFmtId="168" fontId="6" fillId="0" borderId="5" applyAlignment="1" pivotButton="0" quotePrefix="0" xfId="0">
      <alignment horizontal="center" vertical="center"/>
    </xf>
    <xf numFmtId="0" fontId="6" fillId="0" borderId="16" applyAlignment="1" pivotButton="0" quotePrefix="0" xfId="0">
      <alignment horizontal="general" vertical="bottom"/>
    </xf>
    <xf numFmtId="0" fontId="6" fillId="0" borderId="17" applyAlignment="1" pivotButton="0" quotePrefix="0" xfId="0">
      <alignment horizontal="general" vertical="bottom"/>
    </xf>
    <xf numFmtId="0" fontId="6" fillId="0" borderId="18" applyAlignment="1" pivotButton="0" quotePrefix="0" xfId="0">
      <alignment horizontal="general" vertical="bottom"/>
    </xf>
    <xf numFmtId="0" fontId="32" fillId="0" borderId="0" applyAlignment="1" pivotButton="0" quotePrefix="0" xfId="0">
      <alignment horizontal="general" vertical="bottom"/>
    </xf>
    <xf numFmtId="0" fontId="6" fillId="0" borderId="16"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0" fontId="32" fillId="0" borderId="0" applyAlignment="1" pivotButton="0" quotePrefix="0" xfId="0">
      <alignment horizontal="center" vertical="center"/>
    </xf>
    <xf numFmtId="0" fontId="32" fillId="0" borderId="0" applyAlignment="1" pivotButton="0" quotePrefix="0" xfId="0">
      <alignment horizontal="center" vertical="center"/>
    </xf>
    <xf numFmtId="0" fontId="44" fillId="0" borderId="0" applyAlignment="1" pivotButton="0" quotePrefix="0" xfId="0">
      <alignment horizontal="center" vertical="center"/>
    </xf>
    <xf numFmtId="0" fontId="44" fillId="0" borderId="0" applyAlignment="1" pivotButton="0" quotePrefix="0" xfId="0">
      <alignment horizontal="center" vertical="center"/>
    </xf>
    <xf numFmtId="168" fontId="6" fillId="0" borderId="6" applyAlignment="1" pivotButton="0" quotePrefix="0" xfId="0">
      <alignment horizontal="center" vertical="center"/>
    </xf>
    <xf numFmtId="0" fontId="6" fillId="0" borderId="19" applyAlignment="1" pivotButton="0" quotePrefix="0" xfId="0">
      <alignment horizontal="center" vertical="center"/>
    </xf>
    <xf numFmtId="0" fontId="6" fillId="0" borderId="20" applyAlignment="1" pivotButton="0" quotePrefix="0" xfId="0">
      <alignment horizontal="center" vertical="center"/>
    </xf>
    <xf numFmtId="0" fontId="6" fillId="0" borderId="21" applyAlignment="1" pivotButton="0" quotePrefix="0" xfId="0">
      <alignment horizontal="center" vertical="center"/>
    </xf>
    <xf numFmtId="0" fontId="44" fillId="0" borderId="0" applyAlignment="1" pivotButton="0" quotePrefix="0" xfId="0">
      <alignment horizontal="center" vertical="center"/>
    </xf>
    <xf numFmtId="0" fontId="44" fillId="0" borderId="0" applyAlignment="1" pivotButton="0" quotePrefix="0" xfId="0">
      <alignment horizontal="left" vertical="center"/>
    </xf>
    <xf numFmtId="0" fontId="32" fillId="0" borderId="0" applyAlignment="1" pivotButton="0" quotePrefix="0" xfId="0">
      <alignment horizontal="left" vertical="center"/>
    </xf>
    <xf numFmtId="167" fontId="6" fillId="0" borderId="18" applyAlignment="1" pivotButton="0" quotePrefix="0" xfId="0">
      <alignment horizontal="general" vertical="bottom"/>
    </xf>
    <xf numFmtId="0" fontId="32" fillId="0" borderId="18" applyAlignment="1" pivotButton="0" quotePrefix="0" xfId="0">
      <alignment horizontal="center" vertical="center"/>
    </xf>
    <xf numFmtId="0" fontId="32" fillId="0" borderId="18" applyAlignment="1" pivotButton="0" quotePrefix="0" xfId="0">
      <alignment horizontal="center" vertical="center"/>
    </xf>
    <xf numFmtId="0" fontId="32" fillId="0" borderId="0" applyAlignment="1" pivotButton="0" quotePrefix="0" xfId="0">
      <alignment horizontal="left" vertical="center"/>
    </xf>
    <xf numFmtId="0" fontId="4" fillId="0" borderId="0" applyAlignment="1" pivotButton="0" quotePrefix="0" xfId="21">
      <alignment horizontal="general" vertical="bottom"/>
    </xf>
    <xf numFmtId="0" fontId="45" fillId="0" borderId="0" applyAlignment="1" pivotButton="0" quotePrefix="0" xfId="21">
      <alignment horizontal="center" vertical="bottom"/>
    </xf>
    <xf numFmtId="0" fontId="31" fillId="0" borderId="0" applyAlignment="1" pivotButton="0" quotePrefix="0" xfId="21">
      <alignment horizontal="general" vertical="bottom"/>
    </xf>
    <xf numFmtId="0" fontId="45" fillId="0" borderId="0" applyAlignment="1" pivotButton="0" quotePrefix="0" xfId="21">
      <alignment horizontal="general" vertical="bottom"/>
    </xf>
    <xf numFmtId="0" fontId="46" fillId="0" borderId="0" applyAlignment="1" pivotButton="0" quotePrefix="0" xfId="21">
      <alignment horizontal="center" vertical="bottom"/>
    </xf>
    <xf numFmtId="0" fontId="28" fillId="0" borderId="0" applyAlignment="1" pivotButton="0" quotePrefix="0" xfId="21">
      <alignment horizontal="general" vertical="bottom"/>
    </xf>
    <xf numFmtId="0" fontId="46" fillId="0" borderId="0" applyAlignment="1" pivotButton="0" quotePrefix="0" xfId="21">
      <alignment horizontal="general" vertical="bottom"/>
    </xf>
    <xf numFmtId="0" fontId="47" fillId="0" borderId="0" applyAlignment="1" pivotButton="0" quotePrefix="0" xfId="21">
      <alignment horizontal="center" vertical="bottom"/>
    </xf>
    <xf numFmtId="0" fontId="30" fillId="0" borderId="0" applyAlignment="1" pivotButton="0" quotePrefix="0" xfId="21">
      <alignment horizontal="general" vertical="bottom"/>
    </xf>
    <xf numFmtId="0" fontId="26" fillId="0" borderId="0" applyAlignment="1" pivotButton="0" quotePrefix="0" xfId="21">
      <alignment horizontal="center" vertical="bottom"/>
    </xf>
    <xf numFmtId="0" fontId="48" fillId="0" borderId="2" applyAlignment="1" pivotButton="0" quotePrefix="0" xfId="21">
      <alignment horizontal="center" vertical="center" wrapText="1"/>
    </xf>
    <xf numFmtId="0" fontId="48" fillId="0" borderId="4" applyAlignment="1" pivotButton="0" quotePrefix="0" xfId="21">
      <alignment horizontal="center" vertical="center" wrapText="1"/>
    </xf>
    <xf numFmtId="0" fontId="31" fillId="0" borderId="2" applyAlignment="1" pivotButton="0" quotePrefix="0" xfId="0">
      <alignment horizontal="center" vertical="bottom"/>
    </xf>
    <xf numFmtId="174" fontId="31" fillId="0" borderId="2" applyAlignment="1" pivotButton="0" quotePrefix="0" xfId="0">
      <alignment horizontal="center" vertical="bottom"/>
    </xf>
    <xf numFmtId="0" fontId="31" fillId="0" borderId="2" applyAlignment="1" pivotButton="0" quotePrefix="0" xfId="0">
      <alignment horizontal="general" vertical="bottom"/>
    </xf>
    <xf numFmtId="175" fontId="44" fillId="0" borderId="2" applyAlignment="1" pivotButton="0" quotePrefix="0" xfId="24">
      <alignment horizontal="center" vertical="center" wrapText="1"/>
    </xf>
    <xf numFmtId="9" fontId="28" fillId="0" borderId="2" applyAlignment="1" pivotButton="0" quotePrefix="0" xfId="21">
      <alignment horizontal="center" vertical="center" wrapText="1"/>
    </xf>
    <xf numFmtId="0" fontId="28" fillId="0" borderId="2" applyAlignment="1" pivotButton="0" quotePrefix="0" xfId="21">
      <alignment horizontal="center" vertical="center" wrapText="1"/>
    </xf>
    <xf numFmtId="0" fontId="49" fillId="0" borderId="2" applyAlignment="1" pivotButton="0" quotePrefix="0" xfId="21">
      <alignment horizontal="general" vertical="bottom"/>
    </xf>
    <xf numFmtId="0" fontId="49" fillId="0" borderId="0" applyAlignment="1" pivotButton="0" quotePrefix="0" xfId="21">
      <alignment horizontal="general" vertical="bottom"/>
    </xf>
    <xf numFmtId="175" fontId="6" fillId="0" borderId="2" applyAlignment="1" pivotButton="0" quotePrefix="0" xfId="24">
      <alignment horizontal="center" vertical="center" wrapText="1"/>
    </xf>
    <xf numFmtId="0" fontId="4" fillId="0" borderId="2" applyAlignment="1" pivotButton="0" quotePrefix="0" xfId="21">
      <alignment horizontal="general" vertical="bottom"/>
    </xf>
    <xf numFmtId="0" fontId="28" fillId="0" borderId="2" applyAlignment="1" pivotButton="0" quotePrefix="0" xfId="21">
      <alignment horizontal="general" vertical="bottom"/>
    </xf>
    <xf numFmtId="0" fontId="50" fillId="0" borderId="0" applyAlignment="1" pivotButton="0" quotePrefix="0" xfId="21">
      <alignment horizontal="center" vertical="bottom"/>
    </xf>
    <xf numFmtId="0" fontId="46" fillId="0" borderId="0" applyAlignment="1" pivotButton="0" quotePrefix="0" xfId="21">
      <alignment horizontal="center" vertical="center" wrapText="1"/>
    </xf>
    <xf numFmtId="172" fontId="31" fillId="0" borderId="2" applyAlignment="1" pivotButton="0" quotePrefix="0" xfId="0">
      <alignment horizontal="general" vertical="bottom"/>
    </xf>
    <xf numFmtId="0" fontId="51" fillId="0" borderId="2" applyAlignment="1" pivotButton="0" quotePrefix="0" xfId="21">
      <alignment horizontal="center" vertical="center" wrapText="1"/>
    </xf>
    <xf numFmtId="0" fontId="31" fillId="0" borderId="0" applyAlignment="1" pivotButton="0" quotePrefix="0" xfId="21">
      <alignment horizontal="center" vertical="bottom"/>
    </xf>
    <xf numFmtId="0" fontId="27" fillId="0" borderId="0" applyAlignment="1" pivotButton="0" quotePrefix="0" xfId="21">
      <alignment horizontal="general" vertical="bottom"/>
    </xf>
    <xf numFmtId="0" fontId="52" fillId="0" borderId="0" applyAlignment="1" pivotButton="0" quotePrefix="0" xfId="21">
      <alignment horizontal="general" vertical="bottom"/>
    </xf>
    <xf numFmtId="0" fontId="47" fillId="0" borderId="0" applyAlignment="1" pivotButton="0" quotePrefix="0" xfId="21">
      <alignment horizontal="center" vertical="bottom"/>
    </xf>
    <xf numFmtId="0" fontId="47" fillId="0" borderId="0" applyAlignment="1" pivotButton="0" quotePrefix="0" xfId="21">
      <alignment horizontal="general" vertical="bottom"/>
    </xf>
    <xf numFmtId="0" fontId="53" fillId="0" borderId="22" applyAlignment="1" pivotButton="0" quotePrefix="0" xfId="21">
      <alignment horizontal="general" vertical="bottom"/>
    </xf>
    <xf numFmtId="0" fontId="30" fillId="0" borderId="22" applyAlignment="1" pivotButton="0" quotePrefix="0" xfId="21">
      <alignment horizontal="general" vertical="bottom"/>
    </xf>
    <xf numFmtId="0" fontId="53" fillId="0" borderId="0" applyAlignment="1" pivotButton="0" quotePrefix="0" xfId="21">
      <alignment horizontal="general" vertical="bottom"/>
    </xf>
    <xf numFmtId="176" fontId="53" fillId="0" borderId="0" applyAlignment="1" pivotButton="0" quotePrefix="0" xfId="21">
      <alignment horizontal="left" vertical="bottom"/>
    </xf>
    <xf numFmtId="0" fontId="30" fillId="0" borderId="0" applyAlignment="1" pivotButton="0" quotePrefix="0" xfId="21">
      <alignment horizontal="left" vertical="bottom"/>
    </xf>
    <xf numFmtId="0" fontId="46" fillId="0" borderId="2" applyAlignment="1" pivotButton="0" quotePrefix="0" xfId="21">
      <alignment horizontal="center" vertical="bottom"/>
    </xf>
    <xf numFmtId="0" fontId="54" fillId="0" borderId="2" applyAlignment="1" pivotButton="0" quotePrefix="0" xfId="21">
      <alignment horizontal="center" vertical="center" wrapText="1"/>
    </xf>
    <xf numFmtId="0" fontId="32" fillId="0" borderId="10" applyAlignment="1" pivotButton="0" quotePrefix="0" xfId="24">
      <alignment horizontal="center" vertical="center"/>
    </xf>
    <xf numFmtId="0" fontId="32" fillId="0" borderId="10" applyAlignment="1" pivotButton="0" quotePrefix="0" xfId="24">
      <alignment horizontal="left" vertical="center"/>
    </xf>
    <xf numFmtId="175" fontId="32" fillId="0" borderId="10" applyAlignment="1" pivotButton="0" quotePrefix="0" xfId="24">
      <alignment horizontal="center" vertical="center" wrapText="1"/>
    </xf>
    <xf numFmtId="0" fontId="28" fillId="0" borderId="10" applyAlignment="1" pivotButton="0" quotePrefix="0" xfId="21">
      <alignment horizontal="center" vertical="center" wrapText="1"/>
    </xf>
    <xf numFmtId="0" fontId="32" fillId="0" borderId="5" applyAlignment="1" pivotButton="0" quotePrefix="0" xfId="24">
      <alignment horizontal="center" vertical="center"/>
    </xf>
    <xf numFmtId="0" fontId="32" fillId="0" borderId="5" applyAlignment="1" pivotButton="0" quotePrefix="0" xfId="24">
      <alignment horizontal="left" vertical="center"/>
    </xf>
    <xf numFmtId="175" fontId="32" fillId="0" borderId="5" applyAlignment="1" pivotButton="0" quotePrefix="0" xfId="24">
      <alignment horizontal="center" vertical="center" wrapText="1"/>
    </xf>
    <xf numFmtId="0" fontId="28" fillId="0" borderId="5" applyAlignment="1" pivotButton="0" quotePrefix="0" xfId="21">
      <alignment horizontal="center" vertical="center" wrapText="1"/>
    </xf>
    <xf numFmtId="0" fontId="32" fillId="0" borderId="23" applyAlignment="1" pivotButton="0" quotePrefix="0" xfId="24">
      <alignment horizontal="center" vertical="center"/>
    </xf>
    <xf numFmtId="0" fontId="32" fillId="0" borderId="23" applyAlignment="1" pivotButton="0" quotePrefix="0" xfId="24">
      <alignment horizontal="left" vertical="center"/>
    </xf>
    <xf numFmtId="175" fontId="32" fillId="0" borderId="23" applyAlignment="1" pivotButton="0" quotePrefix="0" xfId="24">
      <alignment horizontal="center" vertical="center" wrapText="1"/>
    </xf>
    <xf numFmtId="0" fontId="28" fillId="0" borderId="23" applyAlignment="1" pivotButton="0" quotePrefix="0" xfId="21">
      <alignment horizontal="center" vertical="center" wrapText="1"/>
    </xf>
    <xf numFmtId="0" fontId="32" fillId="0" borderId="24" applyAlignment="1" pivotButton="0" quotePrefix="0" xfId="24">
      <alignment horizontal="center" vertical="center"/>
    </xf>
    <xf numFmtId="0" fontId="32" fillId="0" borderId="24" applyAlignment="1" pivotButton="0" quotePrefix="0" xfId="24">
      <alignment horizontal="left" vertical="center"/>
    </xf>
    <xf numFmtId="175" fontId="32" fillId="0" borderId="24" applyAlignment="1" pivotButton="0" quotePrefix="0" xfId="24">
      <alignment horizontal="center" vertical="center" wrapText="1"/>
    </xf>
    <xf numFmtId="0" fontId="28" fillId="0" borderId="24" applyAlignment="1" pivotButton="0" quotePrefix="0" xfId="21">
      <alignment horizontal="center" vertical="center" wrapText="1"/>
    </xf>
    <xf numFmtId="0" fontId="47" fillId="0" borderId="0" applyAlignment="1" pivotButton="0" quotePrefix="0" xfId="21">
      <alignment horizontal="general" vertical="center"/>
    </xf>
    <xf numFmtId="0" fontId="41" fillId="0" borderId="0" applyAlignment="1" pivotButton="0" quotePrefix="0" xfId="21">
      <alignment horizontal="center" vertical="bottom"/>
    </xf>
    <xf numFmtId="0" fontId="28" fillId="0" borderId="22" applyAlignment="1" pivotButton="0" quotePrefix="0" xfId="21">
      <alignment horizontal="general" vertical="bottom"/>
    </xf>
    <xf numFmtId="0" fontId="4" fillId="0" borderId="22" applyAlignment="1" pivotButton="0" quotePrefix="0" xfId="21">
      <alignment horizontal="general" vertical="bottom"/>
    </xf>
    <xf numFmtId="0" fontId="28" fillId="0" borderId="18" applyAlignment="1" pivotButton="0" quotePrefix="0" xfId="21">
      <alignment horizontal="general" vertical="bottom"/>
    </xf>
    <xf numFmtId="0" fontId="4" fillId="0" borderId="18" applyAlignment="1" pivotButton="0" quotePrefix="0" xfId="21">
      <alignment horizontal="general" vertical="bottom"/>
    </xf>
    <xf numFmtId="0" fontId="46" fillId="0" borderId="0" applyAlignment="1" pivotButton="0" quotePrefix="0" xfId="21">
      <alignment horizontal="center" vertical="bottom"/>
    </xf>
    <xf numFmtId="0" fontId="41" fillId="0" borderId="0" applyAlignment="1" pivotButton="0" quotePrefix="0" xfId="21">
      <alignment horizontal="center" vertical="bottom"/>
    </xf>
    <xf numFmtId="0" fontId="55" fillId="0" borderId="0" applyAlignment="1" pivotButton="0" quotePrefix="0" xfId="21">
      <alignment horizontal="general" vertical="center"/>
    </xf>
    <xf numFmtId="0" fontId="31" fillId="0" borderId="0" applyAlignment="1" pivotButton="0" quotePrefix="0" xfId="21">
      <alignment horizontal="left" vertical="center" wrapText="1"/>
    </xf>
    <xf numFmtId="0" fontId="6" fillId="0" borderId="0" applyAlignment="1" pivotButton="0" quotePrefix="0" xfId="0">
      <alignment horizontal="center" vertical="bottom"/>
    </xf>
    <xf numFmtId="0" fontId="33" fillId="0" borderId="0" applyAlignment="1" pivotButton="0" quotePrefix="0" xfId="0">
      <alignment horizontal="center" vertical="bottom"/>
    </xf>
    <xf numFmtId="0" fontId="8" fillId="0" borderId="0" applyAlignment="1" pivotButton="0" quotePrefix="0" xfId="0">
      <alignment horizontal="center" vertical="bottom"/>
    </xf>
    <xf numFmtId="0" fontId="24" fillId="0" borderId="0" applyAlignment="1" pivotButton="0" quotePrefix="0" xfId="0">
      <alignment horizontal="center" vertical="bottom"/>
    </xf>
    <xf numFmtId="0" fontId="34" fillId="0" borderId="0" applyAlignment="1" pivotButton="0" quotePrefix="0" xfId="0">
      <alignment horizontal="general" vertical="bottom"/>
    </xf>
    <xf numFmtId="0" fontId="56" fillId="0" borderId="0" applyAlignment="1" pivotButton="0" quotePrefix="0" xfId="0">
      <alignment horizontal="general" vertical="bottom"/>
    </xf>
    <xf numFmtId="0" fontId="33" fillId="0" borderId="0" applyAlignment="1" pivotButton="0" quotePrefix="0" xfId="0">
      <alignment horizontal="center" vertical="bottom" wrapText="1"/>
    </xf>
    <xf numFmtId="0" fontId="5" fillId="0" borderId="0" applyAlignment="1" pivotButton="0" quotePrefix="0" xfId="0">
      <alignment horizontal="general" vertical="bottom"/>
    </xf>
    <xf numFmtId="0" fontId="8" fillId="0" borderId="2" applyAlignment="1" pivotButton="0" quotePrefix="0" xfId="0">
      <alignment horizontal="center" vertical="center"/>
    </xf>
    <xf numFmtId="0" fontId="8" fillId="0" borderId="2" applyAlignment="1" pivotButton="0" quotePrefix="0" xfId="0">
      <alignment horizontal="center" vertical="center" wrapText="1"/>
    </xf>
    <xf numFmtId="0" fontId="5" fillId="0" borderId="0" applyAlignment="1" pivotButton="0" quotePrefix="0" xfId="0">
      <alignment horizontal="general" vertical="bottom"/>
    </xf>
    <xf numFmtId="0" fontId="6" fillId="0" borderId="10" applyAlignment="1" pivotButton="0" quotePrefix="0" xfId="0">
      <alignment horizontal="center" vertical="bottom"/>
    </xf>
    <xf numFmtId="0" fontId="31" fillId="0" borderId="10" applyAlignment="1" pivotButton="0" quotePrefix="0" xfId="0">
      <alignment horizontal="left" vertical="center"/>
    </xf>
    <xf numFmtId="0" fontId="31" fillId="0" borderId="10" applyAlignment="1" pivotButton="0" quotePrefix="0" xfId="0">
      <alignment horizontal="center" vertical="center"/>
    </xf>
    <xf numFmtId="0" fontId="58" fillId="0" borderId="2" applyAlignment="1" pivotButton="0" quotePrefix="0" xfId="0">
      <alignment horizontal="center" vertical="bottom"/>
    </xf>
    <xf numFmtId="0" fontId="59" fillId="0" borderId="2" applyAlignment="1" pivotButton="0" quotePrefix="0" xfId="0">
      <alignment horizontal="center" vertical="bottom"/>
    </xf>
    <xf numFmtId="0" fontId="6" fillId="0" borderId="5" applyAlignment="1" pivotButton="0" quotePrefix="0" xfId="0">
      <alignment horizontal="center" vertical="bottom"/>
    </xf>
    <xf numFmtId="177" fontId="6" fillId="0" borderId="5" applyAlignment="1" pivotButton="0" quotePrefix="0" xfId="0">
      <alignment horizontal="center" vertical="bottom"/>
    </xf>
    <xf numFmtId="177" fontId="60" fillId="0" borderId="5" applyAlignment="1" pivotButton="0" quotePrefix="0" xfId="0">
      <alignment horizontal="center" vertical="bottom"/>
    </xf>
    <xf numFmtId="0" fontId="6" fillId="0" borderId="6" applyAlignment="1" pivotButton="0" quotePrefix="0" xfId="0">
      <alignment horizontal="center" vertical="bottom"/>
    </xf>
    <xf numFmtId="177" fontId="6" fillId="0" borderId="6" applyAlignment="1" pivotButton="0" quotePrefix="0" xfId="0">
      <alignment horizontal="center" vertical="bottom"/>
    </xf>
    <xf numFmtId="177" fontId="60" fillId="0" borderId="6" applyAlignment="1" pivotButton="0" quotePrefix="0" xfId="0">
      <alignment horizontal="center" vertical="bottom"/>
    </xf>
    <xf numFmtId="0" fontId="53" fillId="0" borderId="0" applyAlignment="1" pivotButton="0" quotePrefix="0" xfId="0">
      <alignment horizontal="center" vertical="bottom"/>
    </xf>
    <xf numFmtId="0" fontId="61" fillId="0" borderId="0" applyAlignment="1" pivotButton="0" quotePrefix="0" xfId="0">
      <alignment horizontal="general" vertical="bottom"/>
    </xf>
    <xf numFmtId="0" fontId="8" fillId="0" borderId="0" applyAlignment="1" pivotButton="0" quotePrefix="0" xfId="0">
      <alignment horizontal="general" vertical="bottom"/>
    </xf>
    <xf numFmtId="0" fontId="24" fillId="0" borderId="0" applyAlignment="1" pivotButton="0" quotePrefix="0" xfId="0">
      <alignment horizontal="center" vertical="bottom"/>
    </xf>
    <xf numFmtId="0" fontId="62" fillId="0" borderId="0" applyAlignment="1" pivotButton="0" quotePrefix="0" xfId="0">
      <alignment horizontal="general" vertical="bottom"/>
    </xf>
    <xf numFmtId="0" fontId="31" fillId="0" borderId="0" applyAlignment="1" pivotButton="0" quotePrefix="0" xfId="0">
      <alignment horizontal="center" vertical="bottom"/>
    </xf>
    <xf numFmtId="0" fontId="31" fillId="0" borderId="0" applyAlignment="1" pivotButton="0" quotePrefix="0" xfId="0">
      <alignment horizontal="general" vertical="bottom"/>
    </xf>
    <xf numFmtId="0" fontId="31" fillId="5" borderId="0" applyAlignment="1" pivotButton="0" quotePrefix="0" xfId="0">
      <alignment horizontal="center" vertical="bottom"/>
    </xf>
    <xf numFmtId="0" fontId="31" fillId="9" borderId="0" applyAlignment="1" pivotButton="0" quotePrefix="0" xfId="0">
      <alignment horizontal="general" vertical="bottom"/>
    </xf>
    <xf numFmtId="0" fontId="45" fillId="0" borderId="25" applyAlignment="1" pivotButton="0" quotePrefix="0" xfId="0">
      <alignment horizontal="center" vertical="center" wrapText="1"/>
    </xf>
    <xf numFmtId="0" fontId="45" fillId="0" borderId="2" applyAlignment="1" pivotButton="0" quotePrefix="0" xfId="0">
      <alignment horizontal="center" vertical="center" wrapText="1"/>
    </xf>
    <xf numFmtId="0" fontId="45" fillId="0" borderId="2" applyAlignment="1" pivotButton="0" quotePrefix="0" xfId="0">
      <alignment horizontal="center" vertical="center"/>
    </xf>
    <xf numFmtId="0" fontId="45" fillId="10" borderId="2" applyAlignment="1" pivotButton="0" quotePrefix="0" xfId="0">
      <alignment horizontal="center" vertical="center"/>
    </xf>
    <xf numFmtId="0" fontId="45" fillId="4" borderId="2" applyAlignment="1" pivotButton="0" quotePrefix="0" xfId="0">
      <alignment horizontal="center" vertical="center"/>
    </xf>
    <xf numFmtId="0" fontId="45" fillId="11" borderId="2" applyAlignment="1" pivotButton="0" quotePrefix="0" xfId="0">
      <alignment horizontal="center" vertical="center"/>
    </xf>
    <xf numFmtId="0" fontId="45" fillId="9" borderId="2" applyAlignment="1" pivotButton="0" quotePrefix="0" xfId="0">
      <alignment horizontal="center" vertical="center" wrapText="1"/>
    </xf>
    <xf numFmtId="0" fontId="45" fillId="0" borderId="26" applyAlignment="1" pivotButton="0" quotePrefix="0" xfId="0">
      <alignment horizontal="center" vertical="center" wrapText="1"/>
    </xf>
    <xf numFmtId="0" fontId="45" fillId="0" borderId="0" applyAlignment="1" pivotButton="0" quotePrefix="0" xfId="0">
      <alignment horizontal="center" vertical="center"/>
    </xf>
    <xf numFmtId="0" fontId="45" fillId="10" borderId="2" applyAlignment="1" pivotButton="0" quotePrefix="0" xfId="0">
      <alignment horizontal="center" vertical="center" wrapText="1"/>
    </xf>
    <xf numFmtId="0" fontId="45" fillId="4" borderId="2" applyAlignment="1" pivotButton="0" quotePrefix="0" xfId="0">
      <alignment horizontal="center" vertical="center" wrapText="1"/>
    </xf>
    <xf numFmtId="0" fontId="45" fillId="11" borderId="2" applyAlignment="1" pivotButton="0" quotePrefix="0" xfId="0">
      <alignment horizontal="center" vertical="center" wrapText="1"/>
    </xf>
    <xf numFmtId="177" fontId="31" fillId="0" borderId="2" applyAlignment="1" pivotButton="0" quotePrefix="0" xfId="0">
      <alignment horizontal="center" vertical="bottom"/>
    </xf>
    <xf numFmtId="177" fontId="31" fillId="5" borderId="2" applyAlignment="1" pivotButton="0" quotePrefix="0" xfId="0">
      <alignment horizontal="center" vertical="bottom"/>
    </xf>
    <xf numFmtId="177" fontId="31" fillId="0" borderId="2" applyAlignment="1" pivotButton="0" quotePrefix="0" xfId="0">
      <alignment horizontal="general" vertical="bottom"/>
    </xf>
    <xf numFmtId="177" fontId="31" fillId="9" borderId="2" applyAlignment="1" pivotButton="0" quotePrefix="0" xfId="0">
      <alignment horizontal="center" vertical="bottom"/>
    </xf>
    <xf numFmtId="0" fontId="47" fillId="0" borderId="0" applyAlignment="1" pivotButton="0" quotePrefix="0" xfId="0">
      <alignment horizontal="center" vertical="center"/>
    </xf>
    <xf numFmtId="0" fontId="47" fillId="0" borderId="0" applyAlignment="1" pivotButton="0" quotePrefix="0" xfId="0">
      <alignment horizontal="center" vertical="center"/>
    </xf>
    <xf numFmtId="0" fontId="47" fillId="0" borderId="0" applyAlignment="1" pivotButton="0" quotePrefix="0" xfId="0">
      <alignment horizontal="left" vertical="center"/>
    </xf>
    <xf numFmtId="0" fontId="63" fillId="0" borderId="2" applyAlignment="1" pivotButton="0" quotePrefix="0" xfId="0">
      <alignment horizontal="center" vertical="center" wrapText="1"/>
    </xf>
    <xf numFmtId="0" fontId="64" fillId="0" borderId="0" applyAlignment="1" pivotButton="0" quotePrefix="0" xfId="0">
      <alignment horizontal="general" vertical="bottom"/>
    </xf>
    <xf numFmtId="0" fontId="31" fillId="0" borderId="2" applyAlignment="1" pivotButton="0" quotePrefix="0" xfId="0">
      <alignment horizontal="center" vertical="center" wrapText="1"/>
    </xf>
    <xf numFmtId="0" fontId="31" fillId="0" borderId="2" applyAlignment="1" pivotButton="0" quotePrefix="0" xfId="0">
      <alignment horizontal="left" vertical="center" wrapText="1"/>
    </xf>
    <xf numFmtId="0" fontId="6" fillId="0" borderId="2" applyAlignment="1" pivotButton="0" quotePrefix="0" xfId="24">
      <alignment horizontal="left" vertical="center"/>
    </xf>
    <xf numFmtId="177" fontId="65" fillId="0" borderId="2" applyAlignment="1" pivotButton="0" quotePrefix="0" xfId="0">
      <alignment horizontal="right" vertical="center"/>
    </xf>
    <xf numFmtId="0" fontId="50" fillId="0" borderId="7" applyAlignment="1" pivotButton="0" quotePrefix="0" xfId="0">
      <alignment horizontal="right" vertical="center" wrapText="1"/>
    </xf>
    <xf numFmtId="0" fontId="31" fillId="0" borderId="27" applyAlignment="1" pivotButton="0" quotePrefix="0" xfId="0">
      <alignment horizontal="general" vertical="center" wrapText="1"/>
    </xf>
    <xf numFmtId="0" fontId="31" fillId="0" borderId="2" applyAlignment="1" pivotButton="0" quotePrefix="0" xfId="0">
      <alignment horizontal="general" vertical="center" wrapText="1"/>
    </xf>
    <xf numFmtId="0" fontId="60" fillId="0" borderId="0" applyAlignment="1" pivotButton="0" quotePrefix="0" xfId="0">
      <alignment horizontal="general" vertical="bottom"/>
    </xf>
    <xf numFmtId="0" fontId="66" fillId="0" borderId="0" applyAlignment="1" pivotButton="0" quotePrefix="0" xfId="0">
      <alignment horizontal="center" vertical="bottom"/>
    </xf>
    <xf numFmtId="0" fontId="67" fillId="0" borderId="0" applyAlignment="1" pivotButton="0" quotePrefix="0" xfId="0">
      <alignment horizontal="center" vertical="bottom"/>
    </xf>
    <xf numFmtId="0" fontId="67" fillId="0" borderId="0" applyAlignment="1" pivotButton="0" quotePrefix="0" xfId="0">
      <alignment horizontal="center" vertical="bottom"/>
    </xf>
    <xf numFmtId="0" fontId="43" fillId="0" borderId="0" applyAlignment="1" pivotButton="0" quotePrefix="0" xfId="0">
      <alignment horizontal="center" vertical="bottom"/>
    </xf>
    <xf numFmtId="0" fontId="43" fillId="0" borderId="0" applyAlignment="1" pivotButton="0" quotePrefix="0" xfId="0">
      <alignment horizontal="center" vertical="bottom"/>
    </xf>
    <xf numFmtId="0" fontId="68" fillId="0" borderId="0" applyAlignment="1" pivotButton="0" quotePrefix="0" xfId="0">
      <alignment horizontal="center" vertical="bottom" wrapText="1"/>
    </xf>
    <xf numFmtId="0" fontId="68" fillId="0" borderId="0" applyAlignment="1" pivotButton="0" quotePrefix="0" xfId="0">
      <alignment horizontal="center" vertical="bottom" wrapText="1"/>
    </xf>
    <xf numFmtId="0" fontId="43" fillId="0" borderId="0" applyAlignment="1" pivotButton="0" quotePrefix="0" xfId="0">
      <alignment horizontal="center" vertical="bottom" wrapText="1"/>
    </xf>
    <xf numFmtId="0" fontId="43" fillId="0" borderId="0" applyAlignment="1" pivotButton="0" quotePrefix="0" xfId="0">
      <alignment horizontal="center" vertical="bottom" wrapText="1"/>
    </xf>
    <xf numFmtId="0" fontId="69" fillId="0" borderId="0" applyAlignment="1" pivotButton="0" quotePrefix="0" xfId="0">
      <alignment horizontal="center" vertical="bottom"/>
    </xf>
    <xf numFmtId="0" fontId="36" fillId="0" borderId="0" applyAlignment="1" pivotButton="0" quotePrefix="0" xfId="0">
      <alignment horizontal="center" vertical="bottom"/>
    </xf>
    <xf numFmtId="0" fontId="24" fillId="0" borderId="4" applyAlignment="1" pivotButton="0" quotePrefix="0" xfId="22">
      <alignment horizontal="center" vertical="center" wrapText="1"/>
    </xf>
    <xf numFmtId="0" fontId="24" fillId="0" borderId="2" applyAlignment="1" pivotButton="0" quotePrefix="0" xfId="0">
      <alignment horizontal="center" vertical="center"/>
    </xf>
    <xf numFmtId="0" fontId="24" fillId="0" borderId="4" applyAlignment="1" pivotButton="0" quotePrefix="0" xfId="22">
      <alignment horizontal="center" vertical="center" wrapText="1"/>
    </xf>
    <xf numFmtId="0" fontId="43" fillId="0" borderId="26" applyAlignment="1" pivotButton="0" quotePrefix="0" xfId="0">
      <alignment horizontal="center" vertical="center" wrapText="1"/>
    </xf>
    <xf numFmtId="0" fontId="43" fillId="0" borderId="0" applyAlignment="1" pivotButton="0" quotePrefix="0" xfId="0">
      <alignment horizontal="center" vertical="center" wrapText="1"/>
    </xf>
    <xf numFmtId="0" fontId="60" fillId="0" borderId="0" applyAlignment="1" pivotButton="0" quotePrefix="0" xfId="0">
      <alignment horizontal="general" vertical="bottom"/>
    </xf>
    <xf numFmtId="0" fontId="28" fillId="0" borderId="10" applyAlignment="1" pivotButton="0" quotePrefix="0" xfId="0">
      <alignment horizontal="center" vertical="center"/>
    </xf>
    <xf numFmtId="0" fontId="28" fillId="0" borderId="10" applyAlignment="1" pivotButton="0" quotePrefix="0" xfId="0">
      <alignment horizontal="center" vertical="center" wrapText="1"/>
    </xf>
    <xf numFmtId="0" fontId="59" fillId="0" borderId="10" applyAlignment="1" pivotButton="0" quotePrefix="0" xfId="0">
      <alignment horizontal="center" vertical="center"/>
    </xf>
    <xf numFmtId="0" fontId="32" fillId="0" borderId="10" applyAlignment="1" pivotButton="0" quotePrefix="0" xfId="0">
      <alignment horizontal="center" vertical="center"/>
    </xf>
    <xf numFmtId="0" fontId="70" fillId="0" borderId="10" applyAlignment="1" pivotButton="0" quotePrefix="0" xfId="0">
      <alignment horizontal="center" vertical="center"/>
    </xf>
    <xf numFmtId="0" fontId="70" fillId="0" borderId="0" applyAlignment="1" pivotButton="0" quotePrefix="0" xfId="0">
      <alignment horizontal="general" vertical="bottom"/>
    </xf>
    <xf numFmtId="0" fontId="66" fillId="0" borderId="0" applyAlignment="1" pivotButton="0" quotePrefix="0" xfId="0">
      <alignment horizontal="general" vertical="bottom"/>
    </xf>
    <xf numFmtId="0" fontId="28" fillId="0" borderId="5" applyAlignment="1" pivotButton="0" quotePrefix="0" xfId="0">
      <alignment horizontal="center" vertical="center"/>
    </xf>
    <xf numFmtId="0" fontId="28" fillId="0" borderId="5" applyAlignment="1" pivotButton="0" quotePrefix="0" xfId="0">
      <alignment horizontal="center" vertical="center" wrapText="1"/>
    </xf>
    <xf numFmtId="0" fontId="59" fillId="0" borderId="5" applyAlignment="1" pivotButton="0" quotePrefix="0" xfId="0">
      <alignment horizontal="center" vertical="center"/>
    </xf>
    <xf numFmtId="0" fontId="32" fillId="0" borderId="5" applyAlignment="1" pivotButton="0" quotePrefix="0" xfId="0">
      <alignment horizontal="center" vertical="center"/>
    </xf>
    <xf numFmtId="0" fontId="70" fillId="0" borderId="5" applyAlignment="1" pivotButton="0" quotePrefix="0" xfId="0">
      <alignment horizontal="center" vertical="center"/>
    </xf>
    <xf numFmtId="165" fontId="66" fillId="0" borderId="0" applyAlignment="1" pivotButton="0" quotePrefix="0" xfId="19">
      <alignment horizontal="general" vertical="bottom"/>
    </xf>
    <xf numFmtId="0" fontId="29" fillId="0" borderId="0" applyAlignment="1" pivotButton="0" quotePrefix="0" xfId="0">
      <alignment horizontal="general" vertical="bottom"/>
    </xf>
    <xf numFmtId="0" fontId="29" fillId="0" borderId="0" applyAlignment="1" pivotButton="0" quotePrefix="0" xfId="0">
      <alignment horizontal="general" vertical="bottom"/>
    </xf>
    <xf numFmtId="0" fontId="28" fillId="0" borderId="6" applyAlignment="1" pivotButton="0" quotePrefix="0" xfId="0">
      <alignment horizontal="center" vertical="center"/>
    </xf>
    <xf numFmtId="0" fontId="28" fillId="0" borderId="6" applyAlignment="1" pivotButton="0" quotePrefix="0" xfId="0">
      <alignment horizontal="center" vertical="center" wrapText="1"/>
    </xf>
    <xf numFmtId="0" fontId="59" fillId="0" borderId="6" applyAlignment="1" pivotButton="0" quotePrefix="0" xfId="0">
      <alignment horizontal="center" vertical="center"/>
    </xf>
    <xf numFmtId="0" fontId="32" fillId="0" borderId="6" applyAlignment="1" pivotButton="0" quotePrefix="0" xfId="0">
      <alignment horizontal="center" vertical="center"/>
    </xf>
    <xf numFmtId="0" fontId="70" fillId="0" borderId="6" applyAlignment="1" pivotButton="0" quotePrefix="0" xfId="0">
      <alignment horizontal="center" vertical="center"/>
    </xf>
    <xf numFmtId="0" fontId="37" fillId="0" borderId="0" applyAlignment="1" pivotButton="0" quotePrefix="0" xfId="0">
      <alignment horizontal="general" vertical="bottom"/>
    </xf>
    <xf numFmtId="0" fontId="37" fillId="0" borderId="0" applyAlignment="1" pivotButton="0" quotePrefix="0" xfId="0">
      <alignment horizontal="center" vertical="bottom"/>
    </xf>
    <xf numFmtId="0" fontId="71" fillId="0" borderId="0" applyAlignment="1" pivotButton="0" quotePrefix="0" xfId="0">
      <alignment horizontal="center" vertical="bottom"/>
    </xf>
    <xf numFmtId="0" fontId="71" fillId="0" borderId="1" applyAlignment="1" pivotButton="0" quotePrefix="0" xfId="0">
      <alignment horizontal="center" vertical="bottom"/>
    </xf>
    <xf numFmtId="0" fontId="72" fillId="0" borderId="4" applyAlignment="1" pivotButton="0" quotePrefix="0" xfId="0">
      <alignment horizontal="center" vertical="center" wrapText="1"/>
    </xf>
    <xf numFmtId="0" fontId="72" fillId="0" borderId="4" applyAlignment="1" pivotButton="0" quotePrefix="0" xfId="0">
      <alignment horizontal="center" vertical="center"/>
    </xf>
    <xf numFmtId="0" fontId="72" fillId="0" borderId="2" applyAlignment="1" pivotButton="0" quotePrefix="0" xfId="0">
      <alignment horizontal="center" vertical="center" wrapText="1"/>
    </xf>
    <xf numFmtId="0" fontId="37" fillId="0" borderId="2" applyAlignment="1" pivotButton="0" quotePrefix="0" xfId="0">
      <alignment horizontal="center" vertical="bottom"/>
    </xf>
    <xf numFmtId="0" fontId="70" fillId="0" borderId="2" applyAlignment="1" pivotButton="0" quotePrefix="0" xfId="0">
      <alignment horizontal="general" vertical="center"/>
    </xf>
    <xf numFmtId="0" fontId="22" fillId="0" borderId="2" applyAlignment="1" pivotButton="0" quotePrefix="0" xfId="0">
      <alignment horizontal="general" vertical="center" wrapText="1"/>
    </xf>
    <xf numFmtId="0" fontId="22" fillId="0" borderId="2" applyAlignment="1" pivotButton="0" quotePrefix="0" xfId="0">
      <alignment horizontal="center" vertical="center" wrapText="1"/>
    </xf>
    <xf numFmtId="0" fontId="37" fillId="0" borderId="2" applyAlignment="1" pivotButton="0" quotePrefix="0" xfId="0">
      <alignment horizontal="general" vertical="bottom"/>
    </xf>
    <xf numFmtId="176" fontId="37" fillId="0" borderId="2" applyAlignment="1" pivotButton="0" quotePrefix="0" xfId="0">
      <alignment horizontal="center" vertical="bottom"/>
    </xf>
    <xf numFmtId="0" fontId="6" fillId="0" borderId="0" applyAlignment="1" pivotButton="0" quotePrefix="0" xfId="0">
      <alignment horizontal="general" vertical="bottom"/>
    </xf>
    <xf numFmtId="0" fontId="0" fillId="0" borderId="0" pivotButton="0" quotePrefix="0" xfId="0"/>
    <xf numFmtId="0" fontId="7" fillId="0" borderId="0" applyAlignment="1" pivotButton="0" quotePrefix="0" xfId="0">
      <alignment horizontal="general" vertical="center"/>
    </xf>
    <xf numFmtId="0" fontId="6" fillId="0" borderId="0" applyAlignment="1" pivotButton="0" quotePrefix="0" xfId="0">
      <alignment horizontal="left" vertical="center" indent="1"/>
    </xf>
    <xf numFmtId="0" fontId="6" fillId="0" borderId="0" applyAlignment="1" pivotButton="0" quotePrefix="0" xfId="0">
      <alignment horizontal="left" vertical="center" indent="2"/>
    </xf>
    <xf numFmtId="0" fontId="9" fillId="0" borderId="0" applyAlignment="1" pivotButton="0" quotePrefix="0" xfId="0">
      <alignment horizontal="left" vertical="center" indent="2"/>
    </xf>
    <xf numFmtId="0" fontId="9"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0" applyAlignment="1" pivotButton="0" quotePrefix="0" xfId="0">
      <alignment horizontal="center" vertical="bottom"/>
    </xf>
    <xf numFmtId="0" fontId="12" fillId="2" borderId="0" applyAlignment="1" pivotButton="0" quotePrefix="0" xfId="0">
      <alignment horizontal="general" vertical="bottom"/>
    </xf>
    <xf numFmtId="0" fontId="14" fillId="2" borderId="1" applyAlignment="1" pivotButton="0" quotePrefix="0" xfId="0">
      <alignment horizontal="center" vertical="bottom"/>
    </xf>
    <xf numFmtId="0" fontId="0" fillId="0" borderId="1" pivotButton="0" quotePrefix="0" xfId="0"/>
    <xf numFmtId="0" fontId="15" fillId="2" borderId="0" applyAlignment="1" pivotButton="0" quotePrefix="0" xfId="0">
      <alignment horizontal="general" vertical="bottom"/>
    </xf>
    <xf numFmtId="0" fontId="16" fillId="2" borderId="2" applyAlignment="1" pivotButton="0" quotePrefix="0" xfId="0">
      <alignment horizontal="left" vertical="center"/>
    </xf>
    <xf numFmtId="0" fontId="0" fillId="0" borderId="27" pivotButton="0" quotePrefix="0" xfId="0"/>
    <xf numFmtId="0" fontId="15" fillId="3" borderId="2" applyAlignment="1" pivotButton="0" quotePrefix="0" xfId="0">
      <alignment horizontal="center" vertical="center"/>
    </xf>
    <xf numFmtId="0" fontId="14" fillId="4" borderId="2" applyAlignment="1" pivotButton="0" quotePrefix="0" xfId="0">
      <alignment horizontal="center" vertical="center"/>
    </xf>
    <xf numFmtId="0" fontId="14" fillId="5" borderId="2" applyAlignment="1" pivotButton="0" quotePrefix="0" xfId="0">
      <alignment horizontal="center" vertical="center" wrapText="1"/>
    </xf>
    <xf numFmtId="0" fontId="14" fillId="2" borderId="2" applyAlignment="1" pivotButton="0" quotePrefix="0" xfId="0">
      <alignment horizontal="center" vertical="center" wrapText="1"/>
    </xf>
    <xf numFmtId="0" fontId="16" fillId="2" borderId="2" applyAlignment="1" pivotButton="0" quotePrefix="0" xfId="0">
      <alignment horizontal="left" vertical="bottom"/>
    </xf>
    <xf numFmtId="164" fontId="15" fillId="3" borderId="2" applyAlignment="1" pivotButton="0" quotePrefix="0" xfId="0">
      <alignment horizontal="center" vertical="bottom"/>
    </xf>
    <xf numFmtId="0" fontId="12" fillId="4" borderId="2" applyAlignment="1" pivotButton="0" quotePrefix="0" xfId="0">
      <alignment horizontal="left" vertical="bottom"/>
    </xf>
    <xf numFmtId="0" fontId="14" fillId="5" borderId="2" applyAlignment="1" pivotButton="0" quotePrefix="0" xfId="0">
      <alignment horizontal="center" vertical="bottom"/>
    </xf>
    <xf numFmtId="0" fontId="14" fillId="2" borderId="2" applyAlignment="1" pivotButton="0" quotePrefix="0" xfId="0">
      <alignment horizontal="center" vertical="bottom"/>
    </xf>
    <xf numFmtId="0" fontId="15" fillId="3" borderId="2" applyAlignment="1" pivotButton="0" quotePrefix="0" xfId="0">
      <alignment horizontal="center" vertical="bottom"/>
    </xf>
    <xf numFmtId="0" fontId="12" fillId="4" borderId="2" applyAlignment="1" pivotButton="0" quotePrefix="0" xfId="0">
      <alignment horizontal="center" vertical="center"/>
    </xf>
    <xf numFmtId="0" fontId="12" fillId="4" borderId="2" applyAlignment="1" pivotButton="0" quotePrefix="0" xfId="0">
      <alignment horizontal="center" vertical="bottom"/>
    </xf>
    <xf numFmtId="0" fontId="16" fillId="2" borderId="2" applyAlignment="1" pivotButton="0" quotePrefix="0" xfId="0">
      <alignment horizontal="general" vertical="bottom"/>
    </xf>
    <xf numFmtId="0" fontId="0" fillId="0" borderId="30" pivotButton="0" quotePrefix="0" xfId="0"/>
    <xf numFmtId="0" fontId="0" fillId="0" borderId="31" pivotButton="0" quotePrefix="0" xfId="0"/>
    <xf numFmtId="0" fontId="16" fillId="2" borderId="2" applyAlignment="1" pivotButton="0" quotePrefix="0" xfId="0">
      <alignment horizontal="center" vertical="bottom"/>
    </xf>
    <xf numFmtId="0" fontId="15" fillId="6" borderId="0" applyAlignment="1" pivotButton="0" quotePrefix="0" xfId="0">
      <alignment horizontal="general" vertical="bottom"/>
    </xf>
    <xf numFmtId="0" fontId="12" fillId="6" borderId="0" applyAlignment="1" pivotButton="0" quotePrefix="0" xfId="0">
      <alignment horizontal="general" vertical="bottom"/>
    </xf>
    <xf numFmtId="0" fontId="13" fillId="6" borderId="0" applyAlignment="1" pivotButton="0" quotePrefix="0" xfId="0">
      <alignment horizontal="center" vertical="bottom"/>
    </xf>
    <xf numFmtId="0" fontId="17" fillId="6" borderId="0" applyAlignment="1" pivotButton="0" quotePrefix="0" xfId="20">
      <alignment horizontal="general" vertical="bottom"/>
    </xf>
    <xf numFmtId="0" fontId="13" fillId="6" borderId="0" applyAlignment="1" pivotButton="0" quotePrefix="0" xfId="0">
      <alignment horizontal="general" vertical="bottom"/>
    </xf>
    <xf numFmtId="0" fontId="12" fillId="4" borderId="2" applyAlignment="1" pivotButton="0" quotePrefix="0" xfId="0">
      <alignment horizontal="left" vertical="center"/>
    </xf>
    <xf numFmtId="0" fontId="12" fillId="4" borderId="2" applyAlignment="1" pivotButton="0" quotePrefix="0" xfId="0">
      <alignment horizontal="general" vertical="bottom"/>
    </xf>
    <xf numFmtId="0" fontId="19" fillId="2" borderId="2" applyAlignment="1" pivotButton="0" quotePrefix="0" xfId="0">
      <alignment horizontal="center" vertical="bottom"/>
    </xf>
    <xf numFmtId="0" fontId="0" fillId="0" borderId="32" pivotButton="0" quotePrefix="0" xfId="0"/>
    <xf numFmtId="0" fontId="20" fillId="2" borderId="2" applyAlignment="1" pivotButton="0" quotePrefix="0" xfId="0">
      <alignment horizontal="center" vertical="bottom"/>
    </xf>
    <xf numFmtId="0" fontId="21" fillId="2" borderId="2" applyAlignment="1" pivotButton="0" quotePrefix="0" xfId="0">
      <alignment horizontal="general" vertical="bottom"/>
    </xf>
    <xf numFmtId="164" fontId="21" fillId="2" borderId="2" applyAlignment="1" pivotButton="0" quotePrefix="0" xfId="0">
      <alignment horizontal="center" vertical="bottom"/>
    </xf>
    <xf numFmtId="165" fontId="21" fillId="2" borderId="2" applyAlignment="1" pivotButton="0" quotePrefix="0" xfId="19">
      <alignment horizontal="center" vertical="bottom"/>
    </xf>
    <xf numFmtId="0" fontId="14" fillId="0" borderId="0" applyAlignment="1" pivotButton="0" quotePrefix="0" xfId="0">
      <alignment horizontal="general" vertical="bottom"/>
    </xf>
    <xf numFmtId="0" fontId="22" fillId="0" borderId="0" applyAlignment="1" pivotButton="0" quotePrefix="0" xfId="0">
      <alignment horizontal="general" vertical="bottom"/>
    </xf>
    <xf numFmtId="0" fontId="23" fillId="7" borderId="3" applyAlignment="1" pivotButton="0" quotePrefix="0" xfId="0">
      <alignment horizontal="center" vertical="center"/>
    </xf>
    <xf numFmtId="0" fontId="0" fillId="0" borderId="35" pivotButton="0" quotePrefix="0" xfId="0"/>
    <xf numFmtId="0" fontId="0" fillId="0" borderId="36" pivotButton="0" quotePrefix="0" xfId="0"/>
    <xf numFmtId="0" fontId="24" fillId="2" borderId="3" applyAlignment="1" pivotButton="0" quotePrefix="0" xfId="0">
      <alignment horizontal="general" vertical="bottom"/>
    </xf>
    <xf numFmtId="0" fontId="22" fillId="2" borderId="3" applyAlignment="1" pivotButton="0" quotePrefix="0" xfId="0">
      <alignment horizontal="general" vertical="bottom"/>
    </xf>
    <xf numFmtId="49" fontId="25" fillId="3" borderId="3" applyAlignment="1" pivotButton="0" quotePrefix="0" xfId="0">
      <alignment horizontal="left" vertical="bottom"/>
    </xf>
    <xf numFmtId="0" fontId="25" fillId="3" borderId="3" applyAlignment="1" pivotButton="0" quotePrefix="0" xfId="0">
      <alignment horizontal="left" vertical="bottom"/>
    </xf>
    <xf numFmtId="0" fontId="25" fillId="3" borderId="3" applyAlignment="1" pivotButton="0" quotePrefix="0" xfId="0">
      <alignment horizontal="general" vertical="bottom"/>
    </xf>
    <xf numFmtId="0" fontId="25" fillId="2" borderId="3" applyAlignment="1" pivotButton="0" quotePrefix="0" xfId="0">
      <alignment horizontal="general" vertical="bottom"/>
    </xf>
    <xf numFmtId="166" fontId="25" fillId="3" borderId="3" applyAlignment="1" pivotButton="0" quotePrefix="0" xfId="0">
      <alignment horizontal="left" vertical="bottom"/>
    </xf>
    <xf numFmtId="49" fontId="25" fillId="3" borderId="3" applyAlignment="1" pivotButton="0" quotePrefix="0" xfId="0">
      <alignment horizontal="general" vertical="bottom"/>
    </xf>
    <xf numFmtId="49" fontId="25" fillId="3" borderId="3" applyAlignment="1" pivotButton="0" quotePrefix="0" xfId="0">
      <alignment horizontal="left" vertical="top" wrapText="1"/>
    </xf>
    <xf numFmtId="0" fontId="0" fillId="0" borderId="38" pivotButton="0" quotePrefix="0" xfId="0"/>
    <xf numFmtId="0" fontId="0" fillId="0" borderId="39" pivotButton="0" quotePrefix="0" xfId="0"/>
    <xf numFmtId="49" fontId="25" fillId="3" borderId="3" applyAlignment="1" pivotButton="0" quotePrefix="0" xfId="0">
      <alignment horizontal="left" vertical="top"/>
    </xf>
    <xf numFmtId="0" fontId="25" fillId="2" borderId="3" applyAlignment="1" pivotButton="0" quotePrefix="0" xfId="0">
      <alignment horizontal="general" vertical="top"/>
    </xf>
    <xf numFmtId="0" fontId="25" fillId="3" borderId="3" applyAlignment="1" pivotButton="0" quotePrefix="0" xfId="0">
      <alignment horizontal="general" vertical="top"/>
    </xf>
    <xf numFmtId="0" fontId="6" fillId="0" borderId="0" applyAlignment="1" pivotButton="0" quotePrefix="0" xfId="0">
      <alignment horizontal="center" vertical="center"/>
    </xf>
    <xf numFmtId="167" fontId="6" fillId="0" borderId="0" applyAlignment="1" pivotButton="0" quotePrefix="0" xfId="0">
      <alignment horizontal="general" vertical="bottom"/>
    </xf>
    <xf numFmtId="0" fontId="6" fillId="8" borderId="0" applyAlignment="1" pivotButton="0" quotePrefix="0" xfId="0">
      <alignment horizontal="general" vertical="bottom"/>
    </xf>
    <xf numFmtId="167" fontId="6" fillId="8" borderId="0" applyAlignment="1" pivotButton="0" quotePrefix="0" xfId="0">
      <alignment horizontal="general" vertical="bottom"/>
    </xf>
    <xf numFmtId="0" fontId="24" fillId="0" borderId="2" applyAlignment="1" applyProtection="1" pivotButton="0" quotePrefix="0" xfId="0">
      <alignment horizontal="center" vertical="center" wrapText="1"/>
      <protection locked="0" hidden="0"/>
    </xf>
    <xf numFmtId="167" fontId="24" fillId="0" borderId="2" applyAlignment="1" applyProtection="1" pivotButton="0" quotePrefix="0" xfId="0">
      <alignment horizontal="center" vertical="center" wrapText="1"/>
      <protection locked="0" hidden="0"/>
    </xf>
    <xf numFmtId="0" fontId="24" fillId="8" borderId="2" applyAlignment="1" applyProtection="1" pivotButton="0" quotePrefix="0" xfId="0">
      <alignment horizontal="center" vertical="center" wrapText="1"/>
      <protection locked="0" hidden="0"/>
    </xf>
    <xf numFmtId="0" fontId="0" fillId="0" borderId="27" applyProtection="1" pivotButton="0" quotePrefix="0" xfId="0">
      <protection locked="0" hidden="0"/>
    </xf>
    <xf numFmtId="0" fontId="8" fillId="0" borderId="2" applyAlignment="1" applyProtection="1" pivotButton="0" quotePrefix="0" xfId="0">
      <alignment horizontal="center" vertical="center" wrapText="1"/>
      <protection locked="0" hidden="0"/>
    </xf>
    <xf numFmtId="0" fontId="8" fillId="0" borderId="2" applyAlignment="1" applyProtection="1" pivotButton="0" quotePrefix="0" xfId="0">
      <alignment horizontal="center" vertical="center"/>
      <protection locked="0" hidden="0"/>
    </xf>
    <xf numFmtId="0" fontId="8" fillId="5" borderId="2" applyAlignment="1" applyProtection="1" pivotButton="0" quotePrefix="0" xfId="0">
      <alignment horizontal="center" vertical="center"/>
      <protection locked="0" hidden="0"/>
    </xf>
    <xf numFmtId="167" fontId="24" fillId="8" borderId="2" applyAlignment="1" applyProtection="1" pivotButton="0" quotePrefix="0" xfId="0">
      <alignment horizontal="center" vertical="center" wrapText="1"/>
      <protection locked="0" hidden="0"/>
    </xf>
    <xf numFmtId="0" fontId="24" fillId="0" borderId="2" applyAlignment="1" applyProtection="1" pivotButton="0" quotePrefix="0" xfId="0">
      <alignment horizontal="center" vertical="center"/>
      <protection locked="0" hidden="0"/>
    </xf>
    <xf numFmtId="0" fontId="0" fillId="0" borderId="32" applyProtection="1" pivotButton="0" quotePrefix="0" xfId="0">
      <protection locked="0" hidden="0"/>
    </xf>
    <xf numFmtId="0" fontId="0" fillId="0" borderId="31" applyProtection="1" pivotButton="0" quotePrefix="0" xfId="0">
      <protection locked="0" hidden="0"/>
    </xf>
    <xf numFmtId="0" fontId="24" fillId="0" borderId="4" applyAlignment="1" applyProtection="1" pivotButton="0" quotePrefix="0" xfId="0">
      <alignment horizontal="center" vertical="center" wrapText="1"/>
      <protection locked="0" hidden="0"/>
    </xf>
    <xf numFmtId="0" fontId="24" fillId="8" borderId="4" applyAlignment="1" applyProtection="1" pivotButton="0" quotePrefix="0" xfId="0">
      <alignment horizontal="center" vertical="center" wrapText="1"/>
      <protection locked="0" hidden="0"/>
    </xf>
    <xf numFmtId="0" fontId="27" fillId="5" borderId="2" applyAlignment="1" pivotButton="0" quotePrefix="0" xfId="0">
      <alignment horizontal="center" vertical="center"/>
    </xf>
    <xf numFmtId="0" fontId="22" fillId="0" borderId="0" applyAlignment="1" pivotButton="0" quotePrefix="0" xfId="0">
      <alignment horizontal="center" vertical="center"/>
    </xf>
    <xf numFmtId="168" fontId="22" fillId="0" borderId="2" applyAlignment="1" applyProtection="1" pivotButton="0" quotePrefix="0" xfId="0">
      <alignment horizontal="center" vertical="center"/>
      <protection locked="0" hidden="0"/>
    </xf>
    <xf numFmtId="0" fontId="28" fillId="0" borderId="2" applyAlignment="1" pivotButton="0" quotePrefix="0" xfId="0">
      <alignment horizontal="left" vertical="center"/>
    </xf>
    <xf numFmtId="166" fontId="28" fillId="0" borderId="2" applyAlignment="1" pivotButton="0" quotePrefix="0" xfId="0">
      <alignment horizontal="center" vertical="center" wrapText="1"/>
    </xf>
    <xf numFmtId="169" fontId="28" fillId="0" borderId="2" applyAlignment="1" pivotButton="0" quotePrefix="0" xfId="0">
      <alignment horizontal="center" vertical="center" wrapText="1"/>
    </xf>
    <xf numFmtId="49" fontId="28"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28" fillId="8" borderId="2" applyAlignment="1" pivotButton="0" quotePrefix="0" xfId="0">
      <alignment horizontal="center" vertical="center" wrapText="1"/>
    </xf>
    <xf numFmtId="0" fontId="29" fillId="0" borderId="2" applyAlignment="1" pivotButton="0" quotePrefix="0" xfId="0">
      <alignment horizontal="center" vertical="center"/>
    </xf>
    <xf numFmtId="0" fontId="30" fillId="0" borderId="2" applyAlignment="1" applyProtection="1" pivotButton="0" quotePrefix="0" xfId="0">
      <alignment horizontal="left" vertical="bottom"/>
      <protection locked="0" hidden="0"/>
    </xf>
    <xf numFmtId="0" fontId="30" fillId="8" borderId="2" applyAlignment="1" applyProtection="1" pivotButton="0" quotePrefix="0" xfId="0">
      <alignment horizontal="center" vertical="bottom"/>
      <protection locked="1" hidden="1"/>
    </xf>
    <xf numFmtId="0" fontId="31" fillId="0" borderId="2" applyAlignment="1" pivotButton="0" quotePrefix="0" xfId="0">
      <alignment horizontal="center" vertical="center" wrapText="1"/>
    </xf>
    <xf numFmtId="0" fontId="31" fillId="5" borderId="2" applyAlignment="1" pivotButton="0" quotePrefix="0" xfId="0">
      <alignment horizontal="center" vertical="center" wrapText="1"/>
    </xf>
    <xf numFmtId="0" fontId="22" fillId="8" borderId="2" applyAlignment="1" applyProtection="1" pivotButton="0" quotePrefix="0" xfId="0">
      <alignment horizontal="center" vertical="center"/>
      <protection locked="1" hidden="1"/>
    </xf>
    <xf numFmtId="0" fontId="22" fillId="8" borderId="2" applyAlignment="1" applyProtection="1" pivotButton="0" quotePrefix="0" xfId="0">
      <alignment horizontal="center" vertical="center"/>
      <protection locked="0" hidden="0"/>
    </xf>
    <xf numFmtId="0" fontId="22" fillId="0" borderId="2" applyAlignment="1" applyProtection="1" pivotButton="0" quotePrefix="0" xfId="0">
      <alignment horizontal="center" vertical="center"/>
      <protection locked="1" hidden="1"/>
    </xf>
    <xf numFmtId="0" fontId="12" fillId="0" borderId="2" applyAlignment="1" applyProtection="1" pivotButton="0" quotePrefix="0" xfId="0">
      <alignment horizontal="general" vertical="bottom"/>
      <protection locked="1" hidden="1"/>
    </xf>
    <xf numFmtId="168" fontId="22" fillId="0" borderId="0" applyAlignment="1" applyProtection="1" pivotButton="0" quotePrefix="0" xfId="0">
      <alignment horizontal="center" vertical="center"/>
      <protection locked="0" hidden="0"/>
    </xf>
    <xf numFmtId="0" fontId="28" fillId="0" borderId="0" applyAlignment="1" pivotButton="0" quotePrefix="0" xfId="0">
      <alignment horizontal="left" vertical="center"/>
    </xf>
    <xf numFmtId="0" fontId="30" fillId="0" borderId="2" applyAlignment="1" applyProtection="1" pivotButton="0" quotePrefix="0" xfId="0">
      <alignment horizontal="center" vertical="bottom"/>
      <protection locked="0" hidden="0"/>
    </xf>
    <xf numFmtId="168" fontId="22" fillId="0" borderId="2" applyAlignment="1" applyProtection="1" pivotButton="0" quotePrefix="0" xfId="0">
      <alignment horizontal="left" vertical="center"/>
      <protection locked="0" hidden="0"/>
    </xf>
    <xf numFmtId="49" fontId="30" fillId="0" borderId="2" applyAlignment="1" applyProtection="1" pivotButton="0" quotePrefix="0" xfId="0">
      <alignment horizontal="center" vertical="bottom"/>
      <protection locked="0" hidden="0"/>
    </xf>
    <xf numFmtId="0" fontId="31" fillId="0" borderId="2" applyAlignment="1" applyProtection="1" pivotButton="0" quotePrefix="0" xfId="0">
      <alignment horizontal="left" vertical="bottom"/>
      <protection locked="0" hidden="0"/>
    </xf>
    <xf numFmtId="0" fontId="31" fillId="0" borderId="2" applyAlignment="1" applyProtection="1" pivotButton="0" quotePrefix="0" xfId="0">
      <alignment horizontal="left" vertical="center"/>
      <protection locked="0" hidden="0"/>
    </xf>
    <xf numFmtId="0" fontId="31" fillId="5" borderId="2" applyAlignment="1" applyProtection="1" pivotButton="0" quotePrefix="0" xfId="0">
      <alignment horizontal="left" vertical="center"/>
      <protection locked="0" hidden="0"/>
    </xf>
    <xf numFmtId="0" fontId="32" fillId="0" borderId="0" applyAlignment="1" pivotButton="0" quotePrefix="0" xfId="0">
      <alignment horizontal="center" vertical="center"/>
    </xf>
    <xf numFmtId="0" fontId="30" fillId="8" borderId="2" applyAlignment="1" applyProtection="1" pivotButton="0" quotePrefix="0" xfId="0">
      <alignment horizontal="center" vertical="bottom"/>
      <protection locked="0" hidden="0"/>
    </xf>
    <xf numFmtId="170" fontId="30" fillId="0" borderId="2" applyAlignment="1" applyProtection="1" pivotButton="0" quotePrefix="0" xfId="0">
      <alignment horizontal="center" vertical="bottom"/>
      <protection locked="0" hidden="0"/>
    </xf>
    <xf numFmtId="0" fontId="31" fillId="0" borderId="2" applyAlignment="1" applyProtection="1" pivotButton="0" quotePrefix="0" xfId="0">
      <alignment horizontal="center" vertical="bottom"/>
      <protection locked="0" hidden="0"/>
    </xf>
    <xf numFmtId="0" fontId="31" fillId="0" borderId="2" applyAlignment="1" applyProtection="1" pivotButton="0" quotePrefix="0" xfId="0">
      <alignment horizontal="general" vertical="center"/>
      <protection locked="0" hidden="0"/>
    </xf>
    <xf numFmtId="0" fontId="31" fillId="5" borderId="2" applyAlignment="1" applyProtection="1" pivotButton="0" quotePrefix="0" xfId="0">
      <alignment horizontal="general" vertical="center"/>
      <protection locked="0" hidden="0"/>
    </xf>
    <xf numFmtId="0" fontId="32" fillId="8" borderId="2" applyAlignment="1" applyProtection="1" pivotButton="0" quotePrefix="0" xfId="0">
      <alignment horizontal="center" vertical="center"/>
      <protection locked="0" hidden="0"/>
    </xf>
    <xf numFmtId="0" fontId="32" fillId="8" borderId="2" applyAlignment="1" applyProtection="1" pivotButton="0" quotePrefix="0" xfId="0">
      <alignment horizontal="center" vertical="center"/>
      <protection locked="1" hidden="1"/>
    </xf>
    <xf numFmtId="0" fontId="32" fillId="0" borderId="2" applyAlignment="1" applyProtection="1" pivotButton="0" quotePrefix="0" xfId="0">
      <alignment horizontal="center" vertical="center"/>
      <protection locked="1" hidden="1"/>
    </xf>
    <xf numFmtId="49" fontId="6" fillId="0" borderId="0" applyAlignment="1" pivotButton="0" quotePrefix="0" xfId="0">
      <alignment horizontal="general" vertical="bottom"/>
    </xf>
    <xf numFmtId="0" fontId="6" fillId="5" borderId="0" applyAlignment="1" pivotButton="0" quotePrefix="0" xfId="0">
      <alignment horizontal="general" vertical="bottom"/>
    </xf>
    <xf numFmtId="0" fontId="6" fillId="0" borderId="0" applyAlignment="1" pivotButton="0" quotePrefix="0" xfId="23">
      <alignment horizontal="general" vertical="bottom"/>
    </xf>
    <xf numFmtId="0" fontId="6" fillId="0" borderId="0" applyAlignment="1" pivotButton="0" quotePrefix="0" xfId="23">
      <alignment horizontal="center" vertical="bottom"/>
    </xf>
    <xf numFmtId="0" fontId="33" fillId="0" borderId="0" applyAlignment="1" pivotButton="0" quotePrefix="0" xfId="23">
      <alignment horizontal="general" vertical="bottom"/>
    </xf>
    <xf numFmtId="0" fontId="33" fillId="0" borderId="0" applyAlignment="1" pivotButton="0" quotePrefix="0" xfId="23">
      <alignment horizontal="center" vertical="bottom"/>
    </xf>
    <xf numFmtId="0" fontId="24" fillId="0" borderId="0" applyAlignment="1" pivotButton="0" quotePrefix="0" xfId="23">
      <alignment horizontal="center" vertical="bottom"/>
    </xf>
    <xf numFmtId="0" fontId="34" fillId="0" borderId="0" applyAlignment="1" pivotButton="0" quotePrefix="0" xfId="23">
      <alignment horizontal="general" vertical="bottom"/>
    </xf>
    <xf numFmtId="167" fontId="34" fillId="0" borderId="0" applyAlignment="1" pivotButton="0" quotePrefix="0" xfId="23">
      <alignment horizontal="general" vertical="bottom"/>
    </xf>
    <xf numFmtId="0" fontId="34" fillId="0" borderId="0" applyAlignment="1" pivotButton="0" quotePrefix="0" xfId="23">
      <alignment horizontal="center" vertical="bottom"/>
    </xf>
    <xf numFmtId="167" fontId="34" fillId="0" borderId="0" applyAlignment="1" pivotButton="0" quotePrefix="0" xfId="23">
      <alignment horizontal="center" vertical="bottom"/>
    </xf>
    <xf numFmtId="0" fontId="35" fillId="0" borderId="0" applyAlignment="1" pivotButton="0" quotePrefix="0" xfId="23">
      <alignment horizontal="center" vertical="bottom"/>
    </xf>
    <xf numFmtId="171" fontId="36" fillId="0" borderId="0" applyAlignment="1" pivotButton="0" quotePrefix="0" xfId="23">
      <alignment horizontal="center" vertical="bottom"/>
    </xf>
    <xf numFmtId="0" fontId="32" fillId="0" borderId="0" applyAlignment="1" pivotButton="0" quotePrefix="0" xfId="0">
      <alignment horizontal="general" vertical="bottom"/>
    </xf>
    <xf numFmtId="0" fontId="8" fillId="0" borderId="2" applyAlignment="1" pivotButton="0" quotePrefix="0" xfId="23">
      <alignment horizontal="center" vertical="center" wrapText="1"/>
    </xf>
    <xf numFmtId="0" fontId="8" fillId="0" borderId="2" applyAlignment="1" pivotButton="0" quotePrefix="0" xfId="23">
      <alignment horizontal="center" vertical="center"/>
    </xf>
    <xf numFmtId="167" fontId="8" fillId="0" borderId="2" applyAlignment="1" pivotButton="0" quotePrefix="0" xfId="23">
      <alignment horizontal="center" vertical="center" wrapText="1"/>
    </xf>
    <xf numFmtId="168" fontId="37" fillId="0" borderId="5" applyAlignment="1" pivotButton="0" quotePrefix="0" xfId="0">
      <alignment horizontal="center" vertical="center"/>
    </xf>
    <xf numFmtId="172" fontId="28" fillId="0" borderId="2" applyAlignment="1" pivotButton="0" quotePrefix="0" xfId="0">
      <alignment horizontal="center" vertical="center" wrapText="1"/>
    </xf>
    <xf numFmtId="0" fontId="28" fillId="0" borderId="2" applyAlignment="1" pivotButton="0" quotePrefix="0" xfId="0">
      <alignment horizontal="center" vertical="center"/>
    </xf>
    <xf numFmtId="168" fontId="22" fillId="0" borderId="5" applyAlignment="1" pivotButton="0" quotePrefix="0" xfId="0">
      <alignment horizontal="center" vertical="center"/>
    </xf>
    <xf numFmtId="0" fontId="30" fillId="0" borderId="5" applyAlignment="1" pivotButton="0" quotePrefix="0" xfId="0">
      <alignment horizontal="center" vertical="bottom"/>
    </xf>
    <xf numFmtId="0" fontId="22" fillId="0" borderId="5" applyAlignment="1" pivotButton="0" quotePrefix="0" xfId="0">
      <alignment horizontal="center" vertical="center"/>
    </xf>
    <xf numFmtId="168" fontId="22" fillId="0" borderId="6" applyAlignment="1" pivotButton="0" quotePrefix="0" xfId="0">
      <alignment horizontal="center" vertical="center"/>
    </xf>
    <xf numFmtId="0" fontId="30" fillId="0" borderId="6" applyAlignment="1" pivotButton="0" quotePrefix="0" xfId="0">
      <alignment horizontal="center" vertical="bottom"/>
    </xf>
    <xf numFmtId="0" fontId="22" fillId="0" borderId="6" applyAlignment="1" pivotButton="0" quotePrefix="0" xfId="0">
      <alignment horizontal="center" vertical="center"/>
    </xf>
    <xf numFmtId="168" fontId="22" fillId="0" borderId="2" applyAlignment="1" pivotButton="0" quotePrefix="0" xfId="0">
      <alignment horizontal="center" vertical="center"/>
    </xf>
    <xf numFmtId="0" fontId="30" fillId="0" borderId="7" applyAlignment="1" pivotButton="0" quotePrefix="0" xfId="0">
      <alignment horizontal="general" vertical="bottom"/>
    </xf>
    <xf numFmtId="0" fontId="30" fillId="0" borderId="2" applyAlignment="1" pivotButton="0" quotePrefix="0" xfId="0">
      <alignment horizontal="center" vertical="bottom"/>
    </xf>
    <xf numFmtId="0" fontId="30" fillId="0" borderId="2" applyAlignment="1" pivotButton="0" quotePrefix="0" xfId="0">
      <alignment horizontal="general" vertical="center"/>
    </xf>
    <xf numFmtId="0" fontId="32" fillId="0" borderId="2" applyAlignment="1" pivotButton="0" quotePrefix="0" xfId="0">
      <alignment horizontal="center" vertical="center"/>
    </xf>
    <xf numFmtId="0" fontId="10" fillId="0" borderId="0" applyAlignment="1" pivotButton="0" quotePrefix="0" xfId="0">
      <alignment horizontal="center" vertical="center"/>
    </xf>
    <xf numFmtId="0" fontId="38" fillId="0" borderId="0" applyAlignment="1" pivotButton="0" quotePrefix="0" xfId="23">
      <alignment horizontal="general" vertical="top"/>
    </xf>
    <xf numFmtId="0" fontId="10" fillId="0" borderId="0" applyAlignment="1" pivotButton="0" quotePrefix="0" xfId="23">
      <alignment horizontal="general" vertical="top"/>
    </xf>
    <xf numFmtId="0" fontId="10" fillId="0" borderId="0" applyAlignment="1" pivotButton="0" quotePrefix="0" xfId="23">
      <alignment horizontal="general" vertical="bottom"/>
    </xf>
    <xf numFmtId="0" fontId="39" fillId="0" borderId="0" applyAlignment="1" pivotButton="0" quotePrefix="0" xfId="0">
      <alignment horizontal="general" vertical="center"/>
    </xf>
    <xf numFmtId="0" fontId="38" fillId="0" borderId="0" applyAlignment="1" pivotButton="0" quotePrefix="0" xfId="23">
      <alignment horizontal="left" vertical="top"/>
    </xf>
    <xf numFmtId="0" fontId="10" fillId="0" borderId="0" applyAlignment="1" pivotButton="0" quotePrefix="0" xfId="23">
      <alignment horizontal="left" vertical="top"/>
    </xf>
    <xf numFmtId="0" fontId="10" fillId="0" borderId="0" applyAlignment="1" pivotButton="0" quotePrefix="0" xfId="23">
      <alignment horizontal="left" vertical="center" wrapText="1"/>
    </xf>
    <xf numFmtId="0" fontId="39" fillId="0" borderId="0" applyAlignment="1" pivotButton="0" quotePrefix="0" xfId="0">
      <alignment horizontal="center" vertical="center"/>
    </xf>
    <xf numFmtId="0" fontId="10" fillId="0" borderId="0" applyAlignment="1" pivotButton="0" quotePrefix="0" xfId="23">
      <alignment horizontal="right" vertical="top"/>
    </xf>
    <xf numFmtId="0" fontId="39" fillId="0" borderId="0" applyAlignment="1" pivotButton="0" quotePrefix="0" xfId="0">
      <alignment horizontal="general" vertical="bottom"/>
    </xf>
    <xf numFmtId="0" fontId="10" fillId="0" borderId="0" applyAlignment="1" pivotButton="0" quotePrefix="0" xfId="0">
      <alignment horizontal="general" vertical="bottom"/>
    </xf>
    <xf numFmtId="167" fontId="10" fillId="0" borderId="0" applyAlignment="1" pivotButton="0" quotePrefix="0" xfId="0">
      <alignment horizontal="general" vertical="bottom"/>
    </xf>
    <xf numFmtId="0" fontId="40" fillId="0" borderId="0" applyAlignment="1" pivotButton="0" quotePrefix="0" xfId="0">
      <alignment horizontal="center" vertical="bottom"/>
    </xf>
    <xf numFmtId="0" fontId="41" fillId="0" borderId="0" applyAlignment="1" pivotButton="0" quotePrefix="0" xfId="0">
      <alignment horizontal="general" vertical="bottom"/>
    </xf>
    <xf numFmtId="0" fontId="42" fillId="0" borderId="0" applyAlignment="1" pivotButton="0" quotePrefix="0" xfId="23">
      <alignment horizontal="center" vertical="bottom"/>
    </xf>
    <xf numFmtId="0" fontId="33" fillId="0" borderId="0" applyAlignment="1" pivotButton="0" quotePrefix="0" xfId="23">
      <alignment horizontal="center" vertical="center"/>
    </xf>
    <xf numFmtId="0" fontId="33" fillId="0" borderId="0" applyAlignment="1" pivotButton="0" quotePrefix="0" xfId="23">
      <alignment horizontal="general" vertical="center"/>
    </xf>
    <xf numFmtId="170" fontId="28" fillId="0" borderId="2" applyAlignment="1" pivotButton="0" quotePrefix="0" xfId="0">
      <alignment horizontal="center" vertical="center" wrapText="1"/>
    </xf>
    <xf numFmtId="173" fontId="30" fillId="0" borderId="5" applyAlignment="1" pivotButton="0" quotePrefix="0" xfId="0">
      <alignment horizontal="center" vertical="bottom"/>
    </xf>
    <xf numFmtId="173" fontId="30" fillId="0" borderId="6" applyAlignment="1" pivotButton="0" quotePrefix="0" xfId="0">
      <alignment horizontal="center" vertical="bottom"/>
    </xf>
    <xf numFmtId="170" fontId="30" fillId="0" borderId="2" applyAlignment="1" pivotButton="0" quotePrefix="0" xfId="0">
      <alignment horizontal="center" vertical="bottom"/>
    </xf>
    <xf numFmtId="0" fontId="6" fillId="0" borderId="0" applyAlignment="1" pivotButton="0" quotePrefix="0" xfId="0">
      <alignment horizontal="left" vertical="bottom"/>
    </xf>
    <xf numFmtId="0" fontId="43" fillId="0" borderId="0" applyAlignment="1" pivotButton="0" quotePrefix="0" xfId="0">
      <alignment horizontal="center" vertical="center"/>
    </xf>
    <xf numFmtId="0" fontId="43" fillId="0" borderId="0" applyAlignment="1" pivotButton="0" quotePrefix="0" xfId="0">
      <alignment horizontal="general" vertical="center"/>
    </xf>
    <xf numFmtId="0" fontId="43" fillId="0" borderId="0" applyAlignment="1" pivotButton="0" quotePrefix="0" xfId="0">
      <alignment horizontal="right" vertical="center"/>
    </xf>
    <xf numFmtId="0" fontId="8" fillId="0" borderId="2" applyAlignment="1" pivotButton="0" quotePrefix="0" xfId="0">
      <alignment horizontal="center" vertical="center" wrapText="1"/>
    </xf>
    <xf numFmtId="0" fontId="8" fillId="0" borderId="2" applyAlignment="1" pivotButton="0" quotePrefix="0" xfId="0">
      <alignment horizontal="center" vertical="center"/>
    </xf>
    <xf numFmtId="0" fontId="0" fillId="0" borderId="29" pivotButton="0" quotePrefix="0" xfId="0"/>
    <xf numFmtId="167" fontId="8" fillId="0" borderId="2" applyAlignment="1" pivotButton="0" quotePrefix="0" xfId="0">
      <alignment horizontal="center" vertical="center" wrapText="1"/>
    </xf>
    <xf numFmtId="0" fontId="8" fillId="0" borderId="2" applyAlignment="1" pivotButton="0" quotePrefix="0" xfId="0">
      <alignment horizontal="center" vertical="bottom"/>
    </xf>
    <xf numFmtId="0" fontId="0" fillId="0" borderId="40" pivotButton="0" quotePrefix="0" xfId="0"/>
    <xf numFmtId="0" fontId="0" fillId="0" borderId="41" pivotButton="0" quotePrefix="0" xfId="0"/>
    <xf numFmtId="0" fontId="6" fillId="0" borderId="8" applyAlignment="1" pivotButton="0" quotePrefix="0" xfId="0">
      <alignment horizontal="center" vertical="bottom"/>
    </xf>
    <xf numFmtId="0" fontId="6" fillId="0" borderId="9" applyAlignment="1" pivotButton="0" quotePrefix="0" xfId="0">
      <alignment horizontal="center" vertical="bottom"/>
    </xf>
    <xf numFmtId="168" fontId="6" fillId="0" borderId="10" applyAlignment="1" pivotButton="0" quotePrefix="0" xfId="0">
      <alignment horizontal="center" vertical="center"/>
    </xf>
    <xf numFmtId="0" fontId="30" fillId="0" borderId="11" applyAlignment="1" pivotButton="0" quotePrefix="0" xfId="0">
      <alignment horizontal="general" vertical="bottom"/>
    </xf>
    <xf numFmtId="0" fontId="30" fillId="0" borderId="12" applyAlignment="1" pivotButton="0" quotePrefix="0" xfId="0">
      <alignment horizontal="general" vertical="bottom"/>
    </xf>
    <xf numFmtId="0" fontId="30" fillId="0" borderId="10" applyAlignment="1" pivotButton="0" quotePrefix="0" xfId="0">
      <alignment horizontal="left" vertical="center"/>
    </xf>
    <xf numFmtId="0" fontId="6" fillId="0" borderId="13" applyAlignment="1" pivotButton="0" quotePrefix="0" xfId="0">
      <alignment horizontal="general" vertical="bottom"/>
    </xf>
    <xf numFmtId="0" fontId="6" fillId="0" borderId="14" applyAlignment="1" pivotButton="0" quotePrefix="0" xfId="0">
      <alignment horizontal="general" vertical="bottom"/>
    </xf>
    <xf numFmtId="0" fontId="6" fillId="0" borderId="15" applyAlignment="1" pivotButton="0" quotePrefix="0" xfId="0">
      <alignment horizontal="general" vertical="bottom"/>
    </xf>
    <xf numFmtId="168" fontId="6" fillId="0" borderId="5" applyAlignment="1" pivotButton="0" quotePrefix="0" xfId="0">
      <alignment horizontal="center" vertical="center"/>
    </xf>
    <xf numFmtId="0" fontId="6" fillId="0" borderId="16" applyAlignment="1" pivotButton="0" quotePrefix="0" xfId="0">
      <alignment horizontal="general" vertical="bottom"/>
    </xf>
    <xf numFmtId="0" fontId="6" fillId="0" borderId="17" applyAlignment="1" pivotButton="0" quotePrefix="0" xfId="0">
      <alignment horizontal="general" vertical="bottom"/>
    </xf>
    <xf numFmtId="0" fontId="6" fillId="0" borderId="18" applyAlignment="1" pivotButton="0" quotePrefix="0" xfId="0">
      <alignment horizontal="general" vertical="bottom"/>
    </xf>
    <xf numFmtId="0" fontId="6" fillId="0" borderId="16"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0" fontId="44" fillId="0" borderId="0" applyAlignment="1" pivotButton="0" quotePrefix="0" xfId="0">
      <alignment horizontal="center" vertical="center"/>
    </xf>
    <xf numFmtId="168" fontId="6" fillId="0" borderId="6" applyAlignment="1" pivotButton="0" quotePrefix="0" xfId="0">
      <alignment horizontal="center" vertical="center"/>
    </xf>
    <xf numFmtId="0" fontId="6" fillId="0" borderId="19" applyAlignment="1" pivotButton="0" quotePrefix="0" xfId="0">
      <alignment horizontal="center" vertical="center"/>
    </xf>
    <xf numFmtId="0" fontId="6" fillId="0" borderId="20" applyAlignment="1" pivotButton="0" quotePrefix="0" xfId="0">
      <alignment horizontal="center" vertical="center"/>
    </xf>
    <xf numFmtId="0" fontId="6" fillId="0" borderId="21" applyAlignment="1" pivotButton="0" quotePrefix="0" xfId="0">
      <alignment horizontal="center" vertical="center"/>
    </xf>
    <xf numFmtId="0" fontId="44" fillId="0" borderId="0" applyAlignment="1" pivotButton="0" quotePrefix="0" xfId="0">
      <alignment horizontal="left" vertical="center"/>
    </xf>
    <xf numFmtId="0" fontId="32" fillId="0" borderId="0" applyAlignment="1" pivotButton="0" quotePrefix="0" xfId="0">
      <alignment horizontal="left" vertical="center"/>
    </xf>
    <xf numFmtId="167" fontId="6" fillId="0" borderId="18" applyAlignment="1" pivotButton="0" quotePrefix="0" xfId="0">
      <alignment horizontal="general" vertical="bottom"/>
    </xf>
    <xf numFmtId="0" fontId="32" fillId="0" borderId="18" applyAlignment="1" pivotButton="0" quotePrefix="0" xfId="0">
      <alignment horizontal="center" vertical="center"/>
    </xf>
    <xf numFmtId="0" fontId="4" fillId="0" borderId="0" applyAlignment="1" pivotButton="0" quotePrefix="0" xfId="21">
      <alignment horizontal="general" vertical="bottom"/>
    </xf>
    <xf numFmtId="0" fontId="31" fillId="0" borderId="0" applyAlignment="1" pivotButton="0" quotePrefix="0" xfId="21">
      <alignment horizontal="general" vertical="bottom"/>
    </xf>
    <xf numFmtId="0" fontId="45" fillId="0" borderId="0" applyAlignment="1" pivotButton="0" quotePrefix="0" xfId="21">
      <alignment horizontal="center" vertical="bottom"/>
    </xf>
    <xf numFmtId="0" fontId="45" fillId="0" borderId="0" applyAlignment="1" pivotButton="0" quotePrefix="0" xfId="21">
      <alignment horizontal="general" vertical="bottom"/>
    </xf>
    <xf numFmtId="0" fontId="28" fillId="0" borderId="0" applyAlignment="1" pivotButton="0" quotePrefix="0" xfId="21">
      <alignment horizontal="general" vertical="bottom"/>
    </xf>
    <xf numFmtId="0" fontId="46" fillId="0" borderId="0" applyAlignment="1" pivotButton="0" quotePrefix="0" xfId="21">
      <alignment horizontal="center" vertical="bottom"/>
    </xf>
    <xf numFmtId="0" fontId="46" fillId="0" borderId="0" applyAlignment="1" pivotButton="0" quotePrefix="0" xfId="21">
      <alignment horizontal="general" vertical="bottom"/>
    </xf>
    <xf numFmtId="0" fontId="30" fillId="0" borderId="0" applyAlignment="1" pivotButton="0" quotePrefix="0" xfId="21">
      <alignment horizontal="general" vertical="bottom"/>
    </xf>
    <xf numFmtId="0" fontId="47" fillId="0" borderId="0" applyAlignment="1" pivotButton="0" quotePrefix="0" xfId="21">
      <alignment horizontal="center" vertical="bottom"/>
    </xf>
    <xf numFmtId="0" fontId="26" fillId="0" borderId="0" applyAlignment="1" pivotButton="0" quotePrefix="0" xfId="21">
      <alignment horizontal="center" vertical="bottom"/>
    </xf>
    <xf numFmtId="0" fontId="48" fillId="0" borderId="2" applyAlignment="1" pivotButton="0" quotePrefix="0" xfId="21">
      <alignment horizontal="center" vertical="center" wrapText="1"/>
    </xf>
    <xf numFmtId="0" fontId="48" fillId="0" borderId="4" applyAlignment="1" pivotButton="0" quotePrefix="0" xfId="21">
      <alignment horizontal="center" vertical="center" wrapText="1"/>
    </xf>
    <xf numFmtId="0" fontId="49" fillId="0" borderId="0" applyAlignment="1" pivotButton="0" quotePrefix="0" xfId="21">
      <alignment horizontal="general" vertical="bottom"/>
    </xf>
    <xf numFmtId="0" fontId="31" fillId="0" borderId="2" applyAlignment="1" pivotButton="0" quotePrefix="0" xfId="0">
      <alignment horizontal="center" vertical="bottom"/>
    </xf>
    <xf numFmtId="174" fontId="31" fillId="0" borderId="2" applyAlignment="1" pivotButton="0" quotePrefix="0" xfId="0">
      <alignment horizontal="center" vertical="bottom"/>
    </xf>
    <xf numFmtId="0" fontId="31" fillId="0" borderId="2" applyAlignment="1" pivotButton="0" quotePrefix="0" xfId="0">
      <alignment horizontal="general" vertical="bottom"/>
    </xf>
    <xf numFmtId="175" fontId="44" fillId="0" borderId="2" applyAlignment="1" pivotButton="0" quotePrefix="0" xfId="24">
      <alignment horizontal="center" vertical="center" wrapText="1"/>
    </xf>
    <xf numFmtId="9" fontId="28" fillId="0" borderId="2" applyAlignment="1" pivotButton="0" quotePrefix="0" xfId="21">
      <alignment horizontal="center" vertical="center" wrapText="1"/>
    </xf>
    <xf numFmtId="0" fontId="28" fillId="0" borderId="2" applyAlignment="1" pivotButton="0" quotePrefix="0" xfId="21">
      <alignment horizontal="center" vertical="center" wrapText="1"/>
    </xf>
    <xf numFmtId="0" fontId="49" fillId="0" borderId="2" applyAlignment="1" pivotButton="0" quotePrefix="0" xfId="21">
      <alignment horizontal="general" vertical="bottom"/>
    </xf>
    <xf numFmtId="175" fontId="6" fillId="0" borderId="2" applyAlignment="1" pivotButton="0" quotePrefix="0" xfId="24">
      <alignment horizontal="center" vertical="center" wrapText="1"/>
    </xf>
    <xf numFmtId="0" fontId="4" fillId="0" borderId="2" applyAlignment="1" pivotButton="0" quotePrefix="0" xfId="21">
      <alignment horizontal="general" vertical="bottom"/>
    </xf>
    <xf numFmtId="0" fontId="28" fillId="0" borderId="2" applyAlignment="1" pivotButton="0" quotePrefix="0" xfId="21">
      <alignment horizontal="general" vertical="bottom"/>
    </xf>
    <xf numFmtId="0" fontId="50" fillId="0" borderId="0" applyAlignment="1" pivotButton="0" quotePrefix="0" xfId="21">
      <alignment horizontal="center" vertical="bottom"/>
    </xf>
    <xf numFmtId="0" fontId="46" fillId="0" borderId="0" applyAlignment="1" pivotButton="0" quotePrefix="0" xfId="21">
      <alignment horizontal="center" vertical="center" wrapText="1"/>
    </xf>
    <xf numFmtId="172" fontId="31" fillId="0" borderId="2" applyAlignment="1" pivotButton="0" quotePrefix="0" xfId="0">
      <alignment horizontal="general" vertical="bottom"/>
    </xf>
    <xf numFmtId="0" fontId="51" fillId="0" borderId="2" applyAlignment="1" pivotButton="0" quotePrefix="0" xfId="21">
      <alignment horizontal="center" vertical="center" wrapText="1"/>
    </xf>
    <xf numFmtId="0" fontId="31" fillId="0" borderId="0" applyAlignment="1" pivotButton="0" quotePrefix="0" xfId="21">
      <alignment horizontal="center" vertical="bottom"/>
    </xf>
    <xf numFmtId="0" fontId="27" fillId="0" borderId="0" applyAlignment="1" pivotButton="0" quotePrefix="0" xfId="21">
      <alignment horizontal="general" vertical="bottom"/>
    </xf>
    <xf numFmtId="0" fontId="52" fillId="0" borderId="0" applyAlignment="1" pivotButton="0" quotePrefix="0" xfId="21">
      <alignment horizontal="general" vertical="bottom"/>
    </xf>
    <xf numFmtId="0" fontId="47" fillId="0" borderId="0" applyAlignment="1" pivotButton="0" quotePrefix="0" xfId="21">
      <alignment horizontal="general" vertical="bottom"/>
    </xf>
    <xf numFmtId="0" fontId="53" fillId="0" borderId="22" applyAlignment="1" pivotButton="0" quotePrefix="0" xfId="21">
      <alignment horizontal="general" vertical="bottom"/>
    </xf>
    <xf numFmtId="0" fontId="30" fillId="0" borderId="22" applyAlignment="1" pivotButton="0" quotePrefix="0" xfId="21">
      <alignment horizontal="general" vertical="bottom"/>
    </xf>
    <xf numFmtId="0" fontId="53" fillId="0" borderId="0" applyAlignment="1" pivotButton="0" quotePrefix="0" xfId="21">
      <alignment horizontal="general" vertical="bottom"/>
    </xf>
    <xf numFmtId="176" fontId="53" fillId="0" borderId="0" applyAlignment="1" pivotButton="0" quotePrefix="0" xfId="21">
      <alignment horizontal="left" vertical="bottom"/>
    </xf>
    <xf numFmtId="0" fontId="30" fillId="0" borderId="0" applyAlignment="1" pivotButton="0" quotePrefix="0" xfId="21">
      <alignment horizontal="left" vertical="bottom"/>
    </xf>
    <xf numFmtId="0" fontId="46" fillId="0" borderId="2" applyAlignment="1" pivotButton="0" quotePrefix="0" xfId="21">
      <alignment horizontal="center" vertical="bottom"/>
    </xf>
    <xf numFmtId="0" fontId="54" fillId="0" borderId="2" applyAlignment="1" pivotButton="0" quotePrefix="0" xfId="21">
      <alignment horizontal="center" vertical="center" wrapText="1"/>
    </xf>
    <xf numFmtId="0" fontId="32" fillId="0" borderId="10" applyAlignment="1" pivotButton="0" quotePrefix="0" xfId="24">
      <alignment horizontal="center" vertical="center"/>
    </xf>
    <xf numFmtId="0" fontId="32" fillId="0" borderId="10" applyAlignment="1" pivotButton="0" quotePrefix="0" xfId="24">
      <alignment horizontal="left" vertical="center"/>
    </xf>
    <xf numFmtId="175" fontId="32" fillId="0" borderId="10" applyAlignment="1" pivotButton="0" quotePrefix="0" xfId="24">
      <alignment horizontal="center" vertical="center" wrapText="1"/>
    </xf>
    <xf numFmtId="0" fontId="28" fillId="0" borderId="10" applyAlignment="1" pivotButton="0" quotePrefix="0" xfId="21">
      <alignment horizontal="center" vertical="center" wrapText="1"/>
    </xf>
    <xf numFmtId="0" fontId="32" fillId="0" borderId="5" applyAlignment="1" pivotButton="0" quotePrefix="0" xfId="24">
      <alignment horizontal="center" vertical="center"/>
    </xf>
    <xf numFmtId="0" fontId="32" fillId="0" borderId="5" applyAlignment="1" pivotButton="0" quotePrefix="0" xfId="24">
      <alignment horizontal="left" vertical="center"/>
    </xf>
    <xf numFmtId="175" fontId="32" fillId="0" borderId="5" applyAlignment="1" pivotButton="0" quotePrefix="0" xfId="24">
      <alignment horizontal="center" vertical="center" wrapText="1"/>
    </xf>
    <xf numFmtId="0" fontId="28" fillId="0" borderId="5" applyAlignment="1" pivotButton="0" quotePrefix="0" xfId="21">
      <alignment horizontal="center" vertical="center" wrapText="1"/>
    </xf>
    <xf numFmtId="0" fontId="32" fillId="0" borderId="23" applyAlignment="1" pivotButton="0" quotePrefix="0" xfId="24">
      <alignment horizontal="center" vertical="center"/>
    </xf>
    <xf numFmtId="0" fontId="32" fillId="0" borderId="23" applyAlignment="1" pivotButton="0" quotePrefix="0" xfId="24">
      <alignment horizontal="left" vertical="center"/>
    </xf>
    <xf numFmtId="175" fontId="32" fillId="0" borderId="23" applyAlignment="1" pivotButton="0" quotePrefix="0" xfId="24">
      <alignment horizontal="center" vertical="center" wrapText="1"/>
    </xf>
    <xf numFmtId="0" fontId="28" fillId="0" borderId="23" applyAlignment="1" pivotButton="0" quotePrefix="0" xfId="21">
      <alignment horizontal="center" vertical="center" wrapText="1"/>
    </xf>
    <xf numFmtId="0" fontId="32" fillId="0" borderId="24" applyAlignment="1" pivotButton="0" quotePrefix="0" xfId="24">
      <alignment horizontal="center" vertical="center"/>
    </xf>
    <xf numFmtId="0" fontId="32" fillId="0" borderId="24" applyAlignment="1" pivotButton="0" quotePrefix="0" xfId="24">
      <alignment horizontal="left" vertical="center"/>
    </xf>
    <xf numFmtId="175" fontId="32" fillId="0" borderId="24" applyAlignment="1" pivotButton="0" quotePrefix="0" xfId="24">
      <alignment horizontal="center" vertical="center" wrapText="1"/>
    </xf>
    <xf numFmtId="0" fontId="28" fillId="0" borderId="24" applyAlignment="1" pivotButton="0" quotePrefix="0" xfId="21">
      <alignment horizontal="center" vertical="center" wrapText="1"/>
    </xf>
    <xf numFmtId="0" fontId="47" fillId="0" borderId="0" applyAlignment="1" pivotButton="0" quotePrefix="0" xfId="21">
      <alignment horizontal="general" vertical="center"/>
    </xf>
    <xf numFmtId="0" fontId="41" fillId="0" borderId="0" applyAlignment="1" pivotButton="0" quotePrefix="0" xfId="21">
      <alignment horizontal="center" vertical="bottom"/>
    </xf>
    <xf numFmtId="0" fontId="28" fillId="0" borderId="22" applyAlignment="1" pivotButton="0" quotePrefix="0" xfId="21">
      <alignment horizontal="general" vertical="bottom"/>
    </xf>
    <xf numFmtId="0" fontId="4" fillId="0" borderId="22" applyAlignment="1" pivotButton="0" quotePrefix="0" xfId="21">
      <alignment horizontal="general" vertical="bottom"/>
    </xf>
    <xf numFmtId="0" fontId="28" fillId="0" borderId="18" applyAlignment="1" pivotButton="0" quotePrefix="0" xfId="21">
      <alignment horizontal="general" vertical="bottom"/>
    </xf>
    <xf numFmtId="0" fontId="4" fillId="0" borderId="18" applyAlignment="1" pivotButton="0" quotePrefix="0" xfId="21">
      <alignment horizontal="general" vertical="bottom"/>
    </xf>
    <xf numFmtId="0" fontId="55" fillId="0" borderId="0" applyAlignment="1" pivotButton="0" quotePrefix="0" xfId="21">
      <alignment horizontal="general" vertical="center"/>
    </xf>
    <xf numFmtId="0" fontId="31" fillId="0" borderId="0" applyAlignment="1" pivotButton="0" quotePrefix="0" xfId="21">
      <alignment horizontal="left" vertical="center" wrapText="1"/>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33" fillId="0" borderId="0" applyAlignment="1" pivotButton="0" quotePrefix="0" xfId="0">
      <alignment horizontal="center" vertical="bottom"/>
    </xf>
    <xf numFmtId="0" fontId="8" fillId="0" borderId="0" applyAlignment="1" pivotButton="0" quotePrefix="0" xfId="0">
      <alignment horizontal="center" vertical="bottom"/>
    </xf>
    <xf numFmtId="0" fontId="24" fillId="0" borderId="0" applyAlignment="1" pivotButton="0" quotePrefix="0" xfId="0">
      <alignment horizontal="center" vertical="bottom"/>
    </xf>
    <xf numFmtId="0" fontId="34" fillId="0" borderId="0" applyAlignment="1" pivotButton="0" quotePrefix="0" xfId="0">
      <alignment horizontal="general" vertical="bottom"/>
    </xf>
    <xf numFmtId="0" fontId="56" fillId="0" borderId="0" applyAlignment="1" pivotButton="0" quotePrefix="0" xfId="0">
      <alignment horizontal="general" vertical="bottom"/>
    </xf>
    <xf numFmtId="0" fontId="33" fillId="0" borderId="0" applyAlignment="1" pivotButton="0" quotePrefix="0" xfId="0">
      <alignment horizontal="center" vertical="bottom" wrapText="1"/>
    </xf>
    <xf numFmtId="0" fontId="5" fillId="0" borderId="0" applyAlignment="1" pivotButton="0" quotePrefix="0" xfId="0">
      <alignment horizontal="general" vertical="bottom"/>
    </xf>
    <xf numFmtId="0" fontId="6" fillId="0" borderId="10" applyAlignment="1" pivotButton="0" quotePrefix="0" xfId="0">
      <alignment horizontal="center" vertical="bottom"/>
    </xf>
    <xf numFmtId="0" fontId="31" fillId="0" borderId="10" applyAlignment="1" pivotButton="0" quotePrefix="0" xfId="0">
      <alignment horizontal="left" vertical="center"/>
    </xf>
    <xf numFmtId="0" fontId="31" fillId="0" borderId="10" applyAlignment="1" pivotButton="0" quotePrefix="0" xfId="0">
      <alignment horizontal="center" vertical="center"/>
    </xf>
    <xf numFmtId="0" fontId="58" fillId="0" borderId="2" applyAlignment="1" pivotButton="0" quotePrefix="0" xfId="0">
      <alignment horizontal="center" vertical="bottom"/>
    </xf>
    <xf numFmtId="0" fontId="59" fillId="0" borderId="2" applyAlignment="1" pivotButton="0" quotePrefix="0" xfId="0">
      <alignment horizontal="center" vertical="bottom"/>
    </xf>
    <xf numFmtId="0" fontId="6" fillId="0" borderId="5" applyAlignment="1" pivotButton="0" quotePrefix="0" xfId="0">
      <alignment horizontal="center" vertical="bottom"/>
    </xf>
    <xf numFmtId="177" fontId="6" fillId="0" borderId="5" applyAlignment="1" pivotButton="0" quotePrefix="0" xfId="0">
      <alignment horizontal="center" vertical="bottom"/>
    </xf>
    <xf numFmtId="177" fontId="60" fillId="0" borderId="5" applyAlignment="1" pivotButton="0" quotePrefix="0" xfId="0">
      <alignment horizontal="center" vertical="bottom"/>
    </xf>
    <xf numFmtId="0" fontId="6" fillId="0" borderId="6" applyAlignment="1" pivotButton="0" quotePrefix="0" xfId="0">
      <alignment horizontal="center" vertical="bottom"/>
    </xf>
    <xf numFmtId="177" fontId="6" fillId="0" borderId="6" applyAlignment="1" pivotButton="0" quotePrefix="0" xfId="0">
      <alignment horizontal="center" vertical="bottom"/>
    </xf>
    <xf numFmtId="177" fontId="60" fillId="0" borderId="6" applyAlignment="1" pivotButton="0" quotePrefix="0" xfId="0">
      <alignment horizontal="center" vertical="bottom"/>
    </xf>
    <xf numFmtId="0" fontId="61" fillId="0" borderId="0" applyAlignment="1" pivotButton="0" quotePrefix="0" xfId="0">
      <alignment horizontal="general" vertical="bottom"/>
    </xf>
    <xf numFmtId="0" fontId="53" fillId="0" borderId="0" applyAlignment="1" pivotButton="0" quotePrefix="0" xfId="0">
      <alignment horizontal="center" vertical="bottom"/>
    </xf>
    <xf numFmtId="0" fontId="62" fillId="0" borderId="0" applyAlignment="1" pivotButton="0" quotePrefix="0" xfId="0">
      <alignment horizontal="general" vertical="bottom"/>
    </xf>
    <xf numFmtId="0" fontId="8" fillId="0" borderId="0" applyAlignment="1" pivotButton="0" quotePrefix="0" xfId="0">
      <alignment horizontal="general" vertical="bottom"/>
    </xf>
    <xf numFmtId="0" fontId="31" fillId="0" borderId="0" applyAlignment="1" pivotButton="0" quotePrefix="0" xfId="0">
      <alignment horizontal="center" vertical="bottom"/>
    </xf>
    <xf numFmtId="0" fontId="31" fillId="0" borderId="0" applyAlignment="1" pivotButton="0" quotePrefix="0" xfId="0">
      <alignment horizontal="general" vertical="bottom"/>
    </xf>
    <xf numFmtId="0" fontId="31" fillId="5" borderId="0" applyAlignment="1" pivotButton="0" quotePrefix="0" xfId="0">
      <alignment horizontal="center" vertical="bottom"/>
    </xf>
    <xf numFmtId="0" fontId="31" fillId="9" borderId="0" applyAlignment="1" pivotButton="0" quotePrefix="0" xfId="0">
      <alignment horizontal="general" vertical="bottom"/>
    </xf>
    <xf numFmtId="0" fontId="45" fillId="0" borderId="0" applyAlignment="1" pivotButton="0" quotePrefix="0" xfId="0">
      <alignment horizontal="center" vertical="center"/>
    </xf>
    <xf numFmtId="0" fontId="45" fillId="0" borderId="25" applyAlignment="1" pivotButton="0" quotePrefix="0" xfId="0">
      <alignment horizontal="center" vertical="center" wrapText="1"/>
    </xf>
    <xf numFmtId="0" fontId="45" fillId="0" borderId="2" applyAlignment="1" pivotButton="0" quotePrefix="0" xfId="0">
      <alignment horizontal="center" vertical="center" wrapText="1"/>
    </xf>
    <xf numFmtId="0" fontId="45" fillId="0" borderId="2" applyAlignment="1" pivotButton="0" quotePrefix="0" xfId="0">
      <alignment horizontal="center" vertical="center"/>
    </xf>
    <xf numFmtId="0" fontId="45" fillId="10" borderId="2" applyAlignment="1" pivotButton="0" quotePrefix="0" xfId="0">
      <alignment horizontal="center" vertical="center"/>
    </xf>
    <xf numFmtId="0" fontId="45" fillId="4" borderId="2" applyAlignment="1" pivotButton="0" quotePrefix="0" xfId="0">
      <alignment horizontal="center" vertical="center"/>
    </xf>
    <xf numFmtId="0" fontId="45" fillId="11" borderId="2" applyAlignment="1" pivotButton="0" quotePrefix="0" xfId="0">
      <alignment horizontal="center" vertical="center"/>
    </xf>
    <xf numFmtId="0" fontId="45" fillId="9" borderId="2" applyAlignment="1" pivotButton="0" quotePrefix="0" xfId="0">
      <alignment horizontal="center" vertical="center" wrapText="1"/>
    </xf>
    <xf numFmtId="0" fontId="45" fillId="0" borderId="26" applyAlignment="1" pivotButton="0" quotePrefix="0" xfId="0">
      <alignment horizontal="center" vertical="center" wrapText="1"/>
    </xf>
    <xf numFmtId="0" fontId="0" fillId="0" borderId="25" pivotButton="0" quotePrefix="0" xfId="0"/>
    <xf numFmtId="0" fontId="0" fillId="0" borderId="26" pivotButton="0" quotePrefix="0" xfId="0"/>
    <xf numFmtId="0" fontId="45" fillId="10" borderId="2" applyAlignment="1" pivotButton="0" quotePrefix="0" xfId="0">
      <alignment horizontal="center" vertical="center" wrapText="1"/>
    </xf>
    <xf numFmtId="0" fontId="45" fillId="4" borderId="2" applyAlignment="1" pivotButton="0" quotePrefix="0" xfId="0">
      <alignment horizontal="center" vertical="center" wrapText="1"/>
    </xf>
    <xf numFmtId="0" fontId="45" fillId="11" borderId="2" applyAlignment="1" pivotButton="0" quotePrefix="0" xfId="0">
      <alignment horizontal="center" vertical="center" wrapText="1"/>
    </xf>
    <xf numFmtId="177" fontId="31" fillId="0" borderId="2" applyAlignment="1" pivotButton="0" quotePrefix="0" xfId="0">
      <alignment horizontal="center" vertical="bottom"/>
    </xf>
    <xf numFmtId="177" fontId="31" fillId="5" borderId="2" applyAlignment="1" pivotButton="0" quotePrefix="0" xfId="0">
      <alignment horizontal="center" vertical="bottom"/>
    </xf>
    <xf numFmtId="177" fontId="31" fillId="0" borderId="2" applyAlignment="1" pivotButton="0" quotePrefix="0" xfId="0">
      <alignment horizontal="general" vertical="bottom"/>
    </xf>
    <xf numFmtId="177" fontId="31" fillId="9" borderId="2" applyAlignment="1" pivotButton="0" quotePrefix="0" xfId="0">
      <alignment horizontal="center" vertical="bottom"/>
    </xf>
    <xf numFmtId="0" fontId="47" fillId="0" borderId="0" applyAlignment="1" pivotButton="0" quotePrefix="0" xfId="0">
      <alignment horizontal="center" vertical="center"/>
    </xf>
    <xf numFmtId="0" fontId="47" fillId="0" borderId="0" applyAlignment="1" pivotButton="0" quotePrefix="0" xfId="0">
      <alignment horizontal="left" vertical="center"/>
    </xf>
    <xf numFmtId="0" fontId="64" fillId="0" borderId="0" applyAlignment="1" pivotButton="0" quotePrefix="0" xfId="0">
      <alignment horizontal="general" vertical="bottom"/>
    </xf>
    <xf numFmtId="0" fontId="63" fillId="0" borderId="2" applyAlignment="1" pivotButton="0" quotePrefix="0" xfId="0">
      <alignment horizontal="center" vertical="center" wrapText="1"/>
    </xf>
    <xf numFmtId="0" fontId="31" fillId="0" borderId="2" applyAlignment="1" pivotButton="0" quotePrefix="0" xfId="0">
      <alignment horizontal="left" vertical="center" wrapText="1"/>
    </xf>
    <xf numFmtId="0" fontId="6" fillId="0" borderId="2" applyAlignment="1" pivotButton="0" quotePrefix="0" xfId="24">
      <alignment horizontal="left" vertical="center"/>
    </xf>
    <xf numFmtId="177" fontId="65" fillId="0" borderId="2" applyAlignment="1" pivotButton="0" quotePrefix="0" xfId="0">
      <alignment horizontal="right" vertical="center"/>
    </xf>
    <xf numFmtId="0" fontId="50" fillId="0" borderId="7" applyAlignment="1" pivotButton="0" quotePrefix="0" xfId="0">
      <alignment horizontal="right" vertical="center" wrapText="1"/>
    </xf>
    <xf numFmtId="0" fontId="31" fillId="0" borderId="27" applyAlignment="1" pivotButton="0" quotePrefix="0" xfId="0">
      <alignment horizontal="general" vertical="center" wrapText="1"/>
    </xf>
    <xf numFmtId="0" fontId="31" fillId="0" borderId="2" applyAlignment="1" pivotButton="0" quotePrefix="0" xfId="0">
      <alignment horizontal="general" vertical="center" wrapText="1"/>
    </xf>
    <xf numFmtId="0" fontId="60" fillId="0" borderId="0" applyAlignment="1" pivotButton="0" quotePrefix="0" xfId="0">
      <alignment horizontal="general" vertical="bottom"/>
    </xf>
    <xf numFmtId="0" fontId="66" fillId="0" borderId="0" applyAlignment="1" pivotButton="0" quotePrefix="0" xfId="0">
      <alignment horizontal="center" vertical="bottom"/>
    </xf>
    <xf numFmtId="0" fontId="67" fillId="0" borderId="0" applyAlignment="1" pivotButton="0" quotePrefix="0" xfId="0">
      <alignment horizontal="center" vertical="bottom"/>
    </xf>
    <xf numFmtId="0" fontId="43" fillId="0" borderId="0" applyAlignment="1" pivotButton="0" quotePrefix="0" xfId="0">
      <alignment horizontal="center" vertical="bottom"/>
    </xf>
    <xf numFmtId="0" fontId="68" fillId="0" borderId="0" applyAlignment="1" pivotButton="0" quotePrefix="0" xfId="0">
      <alignment horizontal="center" vertical="bottom" wrapText="1"/>
    </xf>
    <xf numFmtId="0" fontId="43" fillId="0" borderId="0" applyAlignment="1" pivotButton="0" quotePrefix="0" xfId="0">
      <alignment horizontal="center" vertical="bottom" wrapText="1"/>
    </xf>
    <xf numFmtId="0" fontId="69" fillId="0" borderId="0" applyAlignment="1" pivotButton="0" quotePrefix="0" xfId="0">
      <alignment horizontal="center" vertical="bottom"/>
    </xf>
    <xf numFmtId="0" fontId="36" fillId="0" borderId="0" applyAlignment="1" pivotButton="0" quotePrefix="0" xfId="0">
      <alignment horizontal="center" vertical="bottom"/>
    </xf>
    <xf numFmtId="0" fontId="24" fillId="0" borderId="4" applyAlignment="1" pivotButton="0" quotePrefix="0" xfId="22">
      <alignment horizontal="center" vertical="center" wrapText="1"/>
    </xf>
    <xf numFmtId="0" fontId="24" fillId="0" borderId="2" applyAlignment="1" pivotButton="0" quotePrefix="0" xfId="0">
      <alignment horizontal="center" vertical="center"/>
    </xf>
    <xf numFmtId="0" fontId="43" fillId="0" borderId="26" applyAlignment="1" pivotButton="0" quotePrefix="0" xfId="0">
      <alignment horizontal="center" vertical="center" wrapText="1"/>
    </xf>
    <xf numFmtId="0" fontId="43" fillId="0" borderId="0" applyAlignment="1" pivotButton="0" quotePrefix="0" xfId="0">
      <alignment horizontal="center" vertical="center" wrapText="1"/>
    </xf>
    <xf numFmtId="0" fontId="66" fillId="0" borderId="0" applyAlignment="1" pivotButton="0" quotePrefix="0" xfId="0">
      <alignment horizontal="general" vertical="bottom"/>
    </xf>
    <xf numFmtId="0" fontId="28" fillId="0" borderId="10" applyAlignment="1" pivotButton="0" quotePrefix="0" xfId="0">
      <alignment horizontal="center" vertical="center"/>
    </xf>
    <xf numFmtId="0" fontId="28" fillId="0" borderId="10" applyAlignment="1" pivotButton="0" quotePrefix="0" xfId="0">
      <alignment horizontal="center" vertical="center" wrapText="1"/>
    </xf>
    <xf numFmtId="0" fontId="59" fillId="0" borderId="10" applyAlignment="1" pivotButton="0" quotePrefix="0" xfId="0">
      <alignment horizontal="center" vertical="center"/>
    </xf>
    <xf numFmtId="0" fontId="32" fillId="0" borderId="10" applyAlignment="1" pivotButton="0" quotePrefix="0" xfId="0">
      <alignment horizontal="center" vertical="center"/>
    </xf>
    <xf numFmtId="0" fontId="70" fillId="0" borderId="10" applyAlignment="1" pivotButton="0" quotePrefix="0" xfId="0">
      <alignment horizontal="center" vertical="center"/>
    </xf>
    <xf numFmtId="0" fontId="70" fillId="0" borderId="0" applyAlignment="1" pivotButton="0" quotePrefix="0" xfId="0">
      <alignment horizontal="general" vertical="bottom"/>
    </xf>
    <xf numFmtId="0" fontId="28" fillId="0" borderId="5" applyAlignment="1" pivotButton="0" quotePrefix="0" xfId="0">
      <alignment horizontal="center" vertical="center"/>
    </xf>
    <xf numFmtId="0" fontId="28" fillId="0" borderId="5" applyAlignment="1" pivotButton="0" quotePrefix="0" xfId="0">
      <alignment horizontal="center" vertical="center" wrapText="1"/>
    </xf>
    <xf numFmtId="0" fontId="59" fillId="0" borderId="5" applyAlignment="1" pivotButton="0" quotePrefix="0" xfId="0">
      <alignment horizontal="center" vertical="center"/>
    </xf>
    <xf numFmtId="0" fontId="32" fillId="0" borderId="5" applyAlignment="1" pivotButton="0" quotePrefix="0" xfId="0">
      <alignment horizontal="center" vertical="center"/>
    </xf>
    <xf numFmtId="0" fontId="70" fillId="0" borderId="5" applyAlignment="1" pivotButton="0" quotePrefix="0" xfId="0">
      <alignment horizontal="center" vertical="center"/>
    </xf>
    <xf numFmtId="165" fontId="66" fillId="0" borderId="0" applyAlignment="1" pivotButton="0" quotePrefix="0" xfId="19">
      <alignment horizontal="general" vertical="bottom"/>
    </xf>
    <xf numFmtId="0" fontId="29" fillId="0" borderId="0" applyAlignment="1" pivotButton="0" quotePrefix="0" xfId="0">
      <alignment horizontal="general" vertical="bottom"/>
    </xf>
    <xf numFmtId="0" fontId="28" fillId="0" borderId="6" applyAlignment="1" pivotButton="0" quotePrefix="0" xfId="0">
      <alignment horizontal="center" vertical="center"/>
    </xf>
    <xf numFmtId="0" fontId="28" fillId="0" borderId="6" applyAlignment="1" pivotButton="0" quotePrefix="0" xfId="0">
      <alignment horizontal="center" vertical="center" wrapText="1"/>
    </xf>
    <xf numFmtId="0" fontId="59" fillId="0" borderId="6" applyAlignment="1" pivotButton="0" quotePrefix="0" xfId="0">
      <alignment horizontal="center" vertical="center"/>
    </xf>
    <xf numFmtId="0" fontId="32" fillId="0" borderId="6" applyAlignment="1" pivotButton="0" quotePrefix="0" xfId="0">
      <alignment horizontal="center" vertical="center"/>
    </xf>
    <xf numFmtId="0" fontId="70" fillId="0" borderId="6" applyAlignment="1" pivotButton="0" quotePrefix="0" xfId="0">
      <alignment horizontal="center" vertical="center"/>
    </xf>
    <xf numFmtId="0" fontId="37" fillId="0" borderId="0" applyAlignment="1" pivotButton="0" quotePrefix="0" xfId="0">
      <alignment horizontal="general" vertical="bottom"/>
    </xf>
    <xf numFmtId="0" fontId="37" fillId="0" borderId="0" applyAlignment="1" pivotButton="0" quotePrefix="0" xfId="0">
      <alignment horizontal="center" vertical="bottom"/>
    </xf>
    <xf numFmtId="0" fontId="71" fillId="0" borderId="0" applyAlignment="1" pivotButton="0" quotePrefix="0" xfId="0">
      <alignment horizontal="center" vertical="bottom"/>
    </xf>
    <xf numFmtId="0" fontId="71" fillId="0" borderId="1" applyAlignment="1" pivotButton="0" quotePrefix="0" xfId="0">
      <alignment horizontal="center" vertical="bottom"/>
    </xf>
    <xf numFmtId="0" fontId="72" fillId="0" borderId="4" applyAlignment="1" pivotButton="0" quotePrefix="0" xfId="0">
      <alignment horizontal="center" vertical="center" wrapText="1"/>
    </xf>
    <xf numFmtId="0" fontId="72" fillId="0" borderId="4" applyAlignment="1" pivotButton="0" quotePrefix="0" xfId="0">
      <alignment horizontal="center" vertical="center"/>
    </xf>
    <xf numFmtId="0" fontId="72" fillId="0" borderId="2" applyAlignment="1" pivotButton="0" quotePrefix="0" xfId="0">
      <alignment horizontal="center" vertical="center" wrapText="1"/>
    </xf>
    <xf numFmtId="0" fontId="37" fillId="0" borderId="2" applyAlignment="1" pivotButton="0" quotePrefix="0" xfId="0">
      <alignment horizontal="center" vertical="bottom"/>
    </xf>
    <xf numFmtId="0" fontId="70" fillId="0" borderId="2" applyAlignment="1" pivotButton="0" quotePrefix="0" xfId="0">
      <alignment horizontal="general" vertical="center"/>
    </xf>
    <xf numFmtId="0" fontId="22" fillId="0" borderId="2" applyAlignment="1" pivotButton="0" quotePrefix="0" xfId="0">
      <alignment horizontal="general" vertical="center" wrapText="1"/>
    </xf>
    <xf numFmtId="0" fontId="22" fillId="0" borderId="2" applyAlignment="1" pivotButton="0" quotePrefix="0" xfId="0">
      <alignment horizontal="center" vertical="center" wrapText="1"/>
    </xf>
    <xf numFmtId="0" fontId="37" fillId="0" borderId="2" applyAlignment="1" pivotButton="0" quotePrefix="0" xfId="0">
      <alignment horizontal="general" vertical="bottom"/>
    </xf>
    <xf numFmtId="176" fontId="37" fillId="0" borderId="2" applyAlignment="1" pivotButton="0" quotePrefix="0" xfId="0">
      <alignment horizontal="center"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5" xfId="7"/>
    <cellStyle name="Normal_danh sách công nhận tốt ngjieepk k7" xfId="8"/>
    <cellStyle name="Normal_Mau 3. Danh sach trich ngang (2)" xfId="9"/>
    <cellStyle name="Normal_Mau 3. Danh sach trich ngang (2) 2" xfId="10"/>
  </cellStyles>
  <dxfs count="6">
    <dxf>
      <font>
        <name val=".VnTime"/>
        <family val="0"/>
        <color rgb="00FFFFFF"/>
        <sz val="12"/>
      </font>
      <fill>
        <patternFill>
          <bgColor rgb="FFFFFF99"/>
        </patternFill>
      </fill>
    </dxf>
    <dxf>
      <font>
        <name val=".VnTime"/>
        <family val="0"/>
        <color rgb="00FFFFFF"/>
        <sz val="12"/>
      </font>
      <fill>
        <patternFill>
          <bgColor rgb="FFFFFFCC"/>
        </patternFill>
      </fill>
    </dxf>
    <dxf>
      <font>
        <name val=".VnTime"/>
        <family val="0"/>
        <color rgb="00FFFFFF"/>
        <sz val="12"/>
      </font>
      <fill>
        <patternFill>
          <bgColor rgb="FFFFFF99"/>
        </patternFill>
      </fill>
    </dxf>
    <dxf>
      <font>
        <name val=".VnTime"/>
        <family val="0"/>
        <color rgb="00FFFFFF"/>
        <sz val="12"/>
      </font>
      <fill>
        <patternFill>
          <bgColor rgb="FFFFFFCC"/>
        </patternFill>
      </fill>
    </dxf>
    <dxf>
      <font>
        <name val=".VnTime"/>
        <family val="0"/>
        <b val="1"/>
        <color rgb="FF993300"/>
        <sz val="12"/>
      </font>
    </dxf>
    <dxf>
      <font>
        <name val=".VnTime"/>
        <family val="0"/>
        <b val="1"/>
        <color rgb="FF993300"/>
        <sz val="12"/>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externalLink" Target="/xl/externalLinks/externalLink1.xml" Id="rId16" /><Relationship Type="http://schemas.openxmlformats.org/officeDocument/2006/relationships/styles" Target="styles.xml" Id="rId17" /><Relationship Type="http://schemas.openxmlformats.org/officeDocument/2006/relationships/theme" Target="theme/theme1.xml" Id="rId18" /></Relationships>
</file>

<file path=xl/externalLinks/_rels/externalLink1.xml.rels><Relationships xmlns="http://schemas.openxmlformats.org/package/2006/relationships"><Relationship Type="http://schemas.openxmlformats.org/officeDocument/2006/relationships/externalLinkPath" Target="../C:/Users/Surface%20Pro%208/Downloads/Lap%20trinh%20danh%20sach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OME"/>
      <sheetName val="Thông tin học viên"/>
      <sheetName val="Danh sách trích ngang"/>
      <sheetName val="Bảng xét ĐK TC"/>
      <sheetName val="Bảng xét ĐK MĐ"/>
      <sheetName val="Phiếu chấm MĐ"/>
      <sheetName val="Tính điểm"/>
      <sheetName val="Phieu ket qua hoc tap"/>
      <sheetName val="Công nhận tốt nghiệp"/>
      <sheetName val="In chứng chỉ"/>
      <sheetName val="ID"/>
      <sheetName val="Thông tin về CTĐT"/>
      <sheetName val="ID doi tuong"/>
    </sheetNames>
    <sheetDataSet>
      <sheetData sheetId="0">
        <row r="4">
          <cell r="C4" t="str">
            <v>Trồng và chăm sóc cây Mắc ca</v>
          </cell>
        </row>
        <row r="8">
          <cell r="C8">
            <v>1</v>
          </cell>
        </row>
        <row r="10">
          <cell r="C10">
            <v>45321</v>
          </cell>
        </row>
        <row r="14">
          <cell r="C14" t="str">
            <v>Thôn Đăk Rô Gia, Đăk Trăm, Đăk Tô, Kon Tum</v>
          </cell>
        </row>
        <row r="16">
          <cell r="C16">
            <v>5</v>
          </cell>
        </row>
      </sheetData>
      <sheetData sheetId="1">
        <row r="2">
          <cell r="A2">
            <v>1</v>
          </cell>
          <cell r="B2" t="str">
            <v>35-2026/TTĐT</v>
          </cell>
          <cell r="C2" t="str">
            <v>A Ngực</v>
          </cell>
        </row>
        <row r="2">
          <cell r="E2">
            <v>30632</v>
          </cell>
        </row>
        <row r="3">
          <cell r="A3">
            <v>2</v>
          </cell>
          <cell r="B3" t="str">
            <v>36-2026/TTĐT</v>
          </cell>
          <cell r="C3" t="str">
            <v>A Cúc</v>
          </cell>
        </row>
        <row r="3">
          <cell r="E3">
            <v>34651</v>
          </cell>
        </row>
        <row r="4">
          <cell r="A4">
            <v>3</v>
          </cell>
          <cell r="B4" t="str">
            <v>37-2026/TTĐT</v>
          </cell>
          <cell r="C4" t="str">
            <v>A Diện</v>
          </cell>
        </row>
        <row r="4">
          <cell r="E4">
            <v>34287</v>
          </cell>
        </row>
        <row r="5">
          <cell r="A5">
            <v>4</v>
          </cell>
          <cell r="B5" t="str">
            <v>38-2026/TTĐT</v>
          </cell>
          <cell r="C5" t="str">
            <v>A Thương</v>
          </cell>
        </row>
        <row r="5">
          <cell r="E5">
            <v>45245</v>
          </cell>
        </row>
        <row r="6">
          <cell r="A6">
            <v>5</v>
          </cell>
          <cell r="B6" t="str">
            <v>39-2026/TTĐT</v>
          </cell>
          <cell r="C6" t="str">
            <v>Rô Ô Khiêm</v>
          </cell>
        </row>
        <row r="6">
          <cell r="E6">
            <v>45246</v>
          </cell>
        </row>
        <row r="7">
          <cell r="A7">
            <v>6</v>
          </cell>
          <cell r="B7" t="str">
            <v>40-2026/TTĐT</v>
          </cell>
          <cell r="C7" t="str">
            <v>Y Du</v>
          </cell>
        </row>
        <row r="7">
          <cell r="E7">
            <v>45247</v>
          </cell>
        </row>
        <row r="8">
          <cell r="A8">
            <v>7</v>
          </cell>
          <cell r="B8" t="str">
            <v>41-2026/TTĐT</v>
          </cell>
          <cell r="C8" t="str">
            <v>A Hiền</v>
          </cell>
        </row>
        <row r="8">
          <cell r="E8">
            <v>45248</v>
          </cell>
        </row>
        <row r="9">
          <cell r="A9">
            <v>8</v>
          </cell>
          <cell r="B9" t="str">
            <v>42-2026/TTĐT</v>
          </cell>
          <cell r="C9" t="str">
            <v>A Kmal</v>
          </cell>
        </row>
        <row r="9">
          <cell r="E9">
            <v>45249</v>
          </cell>
        </row>
        <row r="10">
          <cell r="A10">
            <v>9</v>
          </cell>
          <cell r="B10" t="str">
            <v>43-2026/TTĐT</v>
          </cell>
          <cell r="C10" t="str">
            <v>A Thup</v>
          </cell>
        </row>
        <row r="10">
          <cell r="E10">
            <v>45250</v>
          </cell>
        </row>
        <row r="11">
          <cell r="A11">
            <v>10</v>
          </cell>
          <cell r="B11" t="str">
            <v>44-2026/TTĐT</v>
          </cell>
          <cell r="C11" t="str">
            <v>Y Briel</v>
          </cell>
        </row>
        <row r="11">
          <cell r="E11">
            <v>45251</v>
          </cell>
        </row>
        <row r="12">
          <cell r="A12">
            <v>11</v>
          </cell>
          <cell r="B12" t="str">
            <v>45-2026/TTĐT</v>
          </cell>
          <cell r="C12" t="str">
            <v>A Char</v>
          </cell>
        </row>
        <row r="12">
          <cell r="E12">
            <v>45252</v>
          </cell>
        </row>
        <row r="13">
          <cell r="A13">
            <v>12</v>
          </cell>
          <cell r="B13" t="str">
            <v>46-2026/TTĐT</v>
          </cell>
          <cell r="C13" t="str">
            <v>A Thu</v>
          </cell>
        </row>
        <row r="13">
          <cell r="E13">
            <v>45253</v>
          </cell>
        </row>
        <row r="14">
          <cell r="A14">
            <v>13</v>
          </cell>
          <cell r="B14" t="str">
            <v>47-2026/TTĐT</v>
          </cell>
          <cell r="C14" t="str">
            <v>A Hạl</v>
          </cell>
        </row>
        <row r="14">
          <cell r="E14">
            <v>45254</v>
          </cell>
        </row>
        <row r="15">
          <cell r="A15">
            <v>14</v>
          </cell>
          <cell r="B15" t="str">
            <v>48-2026/TTĐT</v>
          </cell>
          <cell r="C15" t="str">
            <v>A Chiêr</v>
          </cell>
        </row>
        <row r="15">
          <cell r="E15">
            <v>45255</v>
          </cell>
        </row>
        <row r="16">
          <cell r="A16">
            <v>15</v>
          </cell>
          <cell r="B16" t="str">
            <v>49-2026/TTĐT</v>
          </cell>
          <cell r="C16" t="str">
            <v>A Hương</v>
          </cell>
        </row>
        <row r="16">
          <cell r="E16">
            <v>45256</v>
          </cell>
        </row>
        <row r="17">
          <cell r="A17">
            <v>16</v>
          </cell>
          <cell r="B17" t="str">
            <v>50-2026/TTĐT</v>
          </cell>
          <cell r="C17" t="str">
            <v>A Ká</v>
          </cell>
        </row>
        <row r="17">
          <cell r="E17">
            <v>45257</v>
          </cell>
        </row>
        <row r="18">
          <cell r="A18">
            <v>17</v>
          </cell>
          <cell r="B18" t="str">
            <v>51-2026/TTĐT</v>
          </cell>
          <cell r="C18" t="str">
            <v>A Brol</v>
          </cell>
        </row>
        <row r="18">
          <cell r="E18">
            <v>45258</v>
          </cell>
        </row>
        <row r="19">
          <cell r="A19">
            <v>18</v>
          </cell>
          <cell r="B19" t="str">
            <v>52-2026/TTĐT</v>
          </cell>
          <cell r="C19" t="str">
            <v>A Thiuh</v>
          </cell>
        </row>
        <row r="19">
          <cell r="E19">
            <v>45259</v>
          </cell>
        </row>
        <row r="20">
          <cell r="A20">
            <v>19</v>
          </cell>
          <cell r="B20" t="str">
            <v>53-2026/TTĐT</v>
          </cell>
          <cell r="C20" t="str">
            <v>A Nhôm</v>
          </cell>
        </row>
        <row r="20">
          <cell r="E20">
            <v>45260</v>
          </cell>
        </row>
        <row r="21">
          <cell r="A21">
            <v>20</v>
          </cell>
          <cell r="B21" t="str">
            <v>54-2026/TTĐT</v>
          </cell>
          <cell r="C21" t="str">
            <v>A Hoa</v>
          </cell>
        </row>
        <row r="21">
          <cell r="E21">
            <v>45261</v>
          </cell>
        </row>
        <row r="22">
          <cell r="A22">
            <v>21</v>
          </cell>
          <cell r="B22" t="str">
            <v>55-2026/TTĐT</v>
          </cell>
          <cell r="C22" t="str">
            <v>A Thui</v>
          </cell>
        </row>
        <row r="22">
          <cell r="E22">
            <v>45262</v>
          </cell>
        </row>
        <row r="23">
          <cell r="A23">
            <v>22</v>
          </cell>
          <cell r="B23" t="str">
            <v>56-2026/TTĐT</v>
          </cell>
          <cell r="C23" t="str">
            <v>Y Goa</v>
          </cell>
        </row>
        <row r="23">
          <cell r="E23">
            <v>45263</v>
          </cell>
        </row>
        <row r="24">
          <cell r="A24">
            <v>23</v>
          </cell>
          <cell r="B24" t="str">
            <v>57-2026/TTĐT</v>
          </cell>
          <cell r="C24" t="str">
            <v>Y Than</v>
          </cell>
        </row>
        <row r="24">
          <cell r="E24">
            <v>45264</v>
          </cell>
        </row>
        <row r="25">
          <cell r="A25">
            <v>24</v>
          </cell>
          <cell r="B25" t="str">
            <v>58-2026/TTĐT</v>
          </cell>
          <cell r="C25" t="str">
            <v>Y Hoát</v>
          </cell>
        </row>
        <row r="25">
          <cell r="E25">
            <v>45265</v>
          </cell>
        </row>
        <row r="26">
          <cell r="A26">
            <v>25</v>
          </cell>
          <cell r="B26" t="str">
            <v>59-2026/TTĐT</v>
          </cell>
          <cell r="C26" t="str">
            <v>Y Ran</v>
          </cell>
        </row>
        <row r="26">
          <cell r="E26">
            <v>45266</v>
          </cell>
        </row>
        <row r="27">
          <cell r="A27">
            <v>26</v>
          </cell>
          <cell r="B27" t="str">
            <v>60-2026/TTĐT</v>
          </cell>
          <cell r="C27" t="str">
            <v>A Lệu</v>
          </cell>
        </row>
        <row r="27">
          <cell r="E27">
            <v>45267</v>
          </cell>
        </row>
        <row r="28">
          <cell r="A28">
            <v>27</v>
          </cell>
          <cell r="B28" t="str">
            <v>61-2026/TTĐT</v>
          </cell>
          <cell r="C28" t="str">
            <v>A Ký</v>
          </cell>
        </row>
        <row r="28">
          <cell r="E28">
            <v>45268</v>
          </cell>
        </row>
        <row r="29">
          <cell r="A29">
            <v>28</v>
          </cell>
          <cell r="B29" t="str">
            <v>62-2026/TTĐT</v>
          </cell>
          <cell r="C29" t="str">
            <v>A Nhúk</v>
          </cell>
        </row>
        <row r="29">
          <cell r="E29">
            <v>45269</v>
          </cell>
        </row>
        <row r="30">
          <cell r="A30">
            <v>29</v>
          </cell>
          <cell r="B30" t="str">
            <v>63-2026/TTĐT</v>
          </cell>
          <cell r="C30" t="str">
            <v>A Đung</v>
          </cell>
        </row>
        <row r="30">
          <cell r="E30">
            <v>45270</v>
          </cell>
        </row>
        <row r="31">
          <cell r="A31">
            <v>30</v>
          </cell>
          <cell r="B31" t="str">
            <v>64-2026/TTĐT</v>
          </cell>
          <cell r="C31" t="str">
            <v>Y Hiền</v>
          </cell>
        </row>
        <row r="31">
          <cell r="E31">
            <v>45271</v>
          </cell>
        </row>
        <row r="32">
          <cell r="A32">
            <v>31</v>
          </cell>
          <cell r="B32" t="str">
            <v>65-2026/TTĐT</v>
          </cell>
          <cell r="C32" t="str">
            <v>A Trường</v>
          </cell>
        </row>
        <row r="32">
          <cell r="E32">
            <v>45272</v>
          </cell>
        </row>
        <row r="33">
          <cell r="A33">
            <v>32</v>
          </cell>
          <cell r="B33" t="str">
            <v>66-2026/TTĐT</v>
          </cell>
          <cell r="C33" t="str">
            <v>A Nhúk</v>
          </cell>
        </row>
        <row r="33">
          <cell r="E33">
            <v>45273</v>
          </cell>
        </row>
        <row r="34">
          <cell r="A34">
            <v>33</v>
          </cell>
          <cell r="B34" t="str">
            <v>67-2026/TTĐT</v>
          </cell>
          <cell r="C34" t="str">
            <v>A Đung</v>
          </cell>
        </row>
        <row r="34">
          <cell r="E34">
            <v>45274</v>
          </cell>
        </row>
        <row r="35">
          <cell r="A35">
            <v>34</v>
          </cell>
          <cell r="B35" t="str">
            <v>68-2026/TTĐT</v>
          </cell>
          <cell r="C35" t="str">
            <v>Y Hiền</v>
          </cell>
        </row>
        <row r="35">
          <cell r="E35">
            <v>45275</v>
          </cell>
        </row>
        <row r="36">
          <cell r="A36">
            <v>35</v>
          </cell>
          <cell r="B36" t="str">
            <v>69-2026/TTĐT</v>
          </cell>
          <cell r="C36" t="str">
            <v>A Trường</v>
          </cell>
        </row>
        <row r="36">
          <cell r="E36">
            <v>45276</v>
          </cell>
        </row>
      </sheetData>
      <sheetData sheetId="2"/>
      <sheetData sheetId="3"/>
      <sheetData sheetId="4"/>
      <sheetData sheetId="5"/>
      <sheetData sheetId="6">
        <row r="4">
          <cell r="B4" t="str">
            <v>35-2026/TTĐT</v>
          </cell>
          <cell r="C4" t="str">
            <v>A Ngực</v>
          </cell>
        </row>
        <row r="4">
          <cell r="F4">
            <v>6</v>
          </cell>
        </row>
        <row r="4">
          <cell r="H4">
            <v>7</v>
          </cell>
        </row>
        <row r="4">
          <cell r="J4">
            <v>6.3</v>
          </cell>
          <cell r="K4">
            <v>8</v>
          </cell>
          <cell r="L4">
            <v>7.3</v>
          </cell>
        </row>
        <row r="4">
          <cell r="T4">
            <v>6</v>
          </cell>
          <cell r="U4">
            <v>7</v>
          </cell>
          <cell r="V4">
            <v>6.5</v>
          </cell>
          <cell r="W4">
            <v>6.8</v>
          </cell>
          <cell r="X4">
            <v>6</v>
          </cell>
        </row>
        <row r="4">
          <cell r="Z4">
            <v>7</v>
          </cell>
        </row>
        <row r="4">
          <cell r="AB4">
            <v>6.3</v>
          </cell>
          <cell r="AC4">
            <v>8</v>
          </cell>
          <cell r="AD4">
            <v>7.3</v>
          </cell>
        </row>
        <row r="4">
          <cell r="AL4">
            <v>6</v>
          </cell>
          <cell r="AM4">
            <v>7</v>
          </cell>
          <cell r="AN4">
            <v>6.5</v>
          </cell>
          <cell r="AO4">
            <v>6.8</v>
          </cell>
          <cell r="AP4">
            <v>6</v>
          </cell>
        </row>
        <row r="4">
          <cell r="AR4">
            <v>7</v>
          </cell>
        </row>
        <row r="4">
          <cell r="AT4">
            <v>6.3</v>
          </cell>
          <cell r="AU4">
            <v>8</v>
          </cell>
          <cell r="AV4">
            <v>7.3</v>
          </cell>
        </row>
        <row r="4">
          <cell r="BD4">
            <v>6</v>
          </cell>
          <cell r="BE4">
            <v>7</v>
          </cell>
          <cell r="BF4">
            <v>6.5</v>
          </cell>
          <cell r="BG4">
            <v>6.8</v>
          </cell>
          <cell r="BH4">
            <v>6.8</v>
          </cell>
          <cell r="BI4" t="str">
            <v>Trung bình - Khá</v>
          </cell>
        </row>
        <row r="5">
          <cell r="B5" t="str">
            <v>36-2026/TTĐT</v>
          </cell>
          <cell r="C5" t="str">
            <v>A Cúc</v>
          </cell>
        </row>
        <row r="5">
          <cell r="F5">
            <v>6</v>
          </cell>
        </row>
        <row r="5">
          <cell r="H5">
            <v>7</v>
          </cell>
        </row>
        <row r="5">
          <cell r="J5">
            <v>6.3</v>
          </cell>
          <cell r="K5">
            <v>8</v>
          </cell>
          <cell r="L5">
            <v>7.3</v>
          </cell>
        </row>
        <row r="5">
          <cell r="T5">
            <v>7</v>
          </cell>
          <cell r="U5">
            <v>6</v>
          </cell>
          <cell r="V5">
            <v>6.5</v>
          </cell>
          <cell r="W5">
            <v>6.8</v>
          </cell>
          <cell r="X5">
            <v>6</v>
          </cell>
        </row>
        <row r="5">
          <cell r="Z5">
            <v>7</v>
          </cell>
        </row>
        <row r="5">
          <cell r="AB5">
            <v>6.3</v>
          </cell>
          <cell r="AC5">
            <v>8</v>
          </cell>
          <cell r="AD5">
            <v>7.3</v>
          </cell>
        </row>
        <row r="5">
          <cell r="AL5">
            <v>7</v>
          </cell>
          <cell r="AM5">
            <v>6</v>
          </cell>
          <cell r="AN5">
            <v>6.5</v>
          </cell>
          <cell r="AO5">
            <v>6.8</v>
          </cell>
          <cell r="AP5">
            <v>6</v>
          </cell>
        </row>
        <row r="5">
          <cell r="AR5">
            <v>7</v>
          </cell>
        </row>
        <row r="5">
          <cell r="AT5">
            <v>6.3</v>
          </cell>
          <cell r="AU5">
            <v>8</v>
          </cell>
          <cell r="AV5">
            <v>7.3</v>
          </cell>
        </row>
        <row r="5">
          <cell r="BD5">
            <v>7</v>
          </cell>
          <cell r="BE5">
            <v>6</v>
          </cell>
          <cell r="BF5">
            <v>6.5</v>
          </cell>
          <cell r="BG5">
            <v>6.8</v>
          </cell>
          <cell r="BH5">
            <v>6.8</v>
          </cell>
          <cell r="BI5" t="str">
            <v>Trung bình - Khá</v>
          </cell>
        </row>
        <row r="6">
          <cell r="B6" t="str">
            <v>37-2026/TTĐT</v>
          </cell>
          <cell r="C6" t="str">
            <v>A Diện</v>
          </cell>
        </row>
        <row r="6">
          <cell r="F6">
            <v>6</v>
          </cell>
        </row>
        <row r="6">
          <cell r="H6">
            <v>6</v>
          </cell>
        </row>
        <row r="6">
          <cell r="J6">
            <v>6</v>
          </cell>
          <cell r="K6">
            <v>8</v>
          </cell>
          <cell r="L6">
            <v>7.2</v>
          </cell>
        </row>
        <row r="6">
          <cell r="T6">
            <v>7</v>
          </cell>
          <cell r="U6">
            <v>7</v>
          </cell>
          <cell r="V6">
            <v>7</v>
          </cell>
          <cell r="W6">
            <v>7.1</v>
          </cell>
          <cell r="X6">
            <v>6</v>
          </cell>
        </row>
        <row r="6">
          <cell r="Z6">
            <v>6</v>
          </cell>
        </row>
        <row r="6">
          <cell r="AB6">
            <v>6</v>
          </cell>
          <cell r="AC6">
            <v>8</v>
          </cell>
          <cell r="AD6">
            <v>7.2</v>
          </cell>
        </row>
        <row r="6">
          <cell r="AL6">
            <v>7</v>
          </cell>
          <cell r="AM6">
            <v>7</v>
          </cell>
          <cell r="AN6">
            <v>7</v>
          </cell>
          <cell r="AO6">
            <v>7.1</v>
          </cell>
          <cell r="AP6">
            <v>6</v>
          </cell>
        </row>
        <row r="6">
          <cell r="AR6">
            <v>6</v>
          </cell>
        </row>
        <row r="6">
          <cell r="AT6">
            <v>6</v>
          </cell>
          <cell r="AU6">
            <v>8</v>
          </cell>
          <cell r="AV6">
            <v>7.2</v>
          </cell>
        </row>
        <row r="6">
          <cell r="BD6">
            <v>7</v>
          </cell>
          <cell r="BE6">
            <v>7</v>
          </cell>
          <cell r="BF6">
            <v>7</v>
          </cell>
          <cell r="BG6">
            <v>7.1</v>
          </cell>
          <cell r="BH6">
            <v>7.1</v>
          </cell>
          <cell r="BI6" t="str">
            <v>Khá</v>
          </cell>
        </row>
        <row r="7">
          <cell r="B7" t="str">
            <v>38-2026/TTĐT</v>
          </cell>
          <cell r="C7" t="str">
            <v>A Thương</v>
          </cell>
        </row>
        <row r="7">
          <cell r="F7">
            <v>7</v>
          </cell>
        </row>
        <row r="7">
          <cell r="H7">
            <v>6</v>
          </cell>
        </row>
        <row r="7">
          <cell r="J7">
            <v>6.7</v>
          </cell>
          <cell r="K7">
            <v>9</v>
          </cell>
          <cell r="L7">
            <v>8.1</v>
          </cell>
        </row>
        <row r="7">
          <cell r="T7">
            <v>6</v>
          </cell>
          <cell r="U7">
            <v>6</v>
          </cell>
          <cell r="V7">
            <v>6</v>
          </cell>
          <cell r="W7">
            <v>6.7</v>
          </cell>
          <cell r="X7">
            <v>7</v>
          </cell>
        </row>
        <row r="7">
          <cell r="Z7">
            <v>6</v>
          </cell>
        </row>
        <row r="7">
          <cell r="AB7">
            <v>6.7</v>
          </cell>
          <cell r="AC7">
            <v>9</v>
          </cell>
          <cell r="AD7">
            <v>8.1</v>
          </cell>
        </row>
        <row r="7">
          <cell r="AL7">
            <v>6</v>
          </cell>
          <cell r="AM7">
            <v>6</v>
          </cell>
          <cell r="AN7">
            <v>6</v>
          </cell>
          <cell r="AO7">
            <v>6.7</v>
          </cell>
          <cell r="AP7">
            <v>7</v>
          </cell>
        </row>
        <row r="7">
          <cell r="AR7">
            <v>6</v>
          </cell>
        </row>
        <row r="7">
          <cell r="AT7">
            <v>6.7</v>
          </cell>
          <cell r="AU7">
            <v>9</v>
          </cell>
          <cell r="AV7">
            <v>8.1</v>
          </cell>
        </row>
        <row r="7">
          <cell r="BD7">
            <v>6</v>
          </cell>
          <cell r="BE7">
            <v>6</v>
          </cell>
          <cell r="BF7">
            <v>6</v>
          </cell>
          <cell r="BG7">
            <v>6.7</v>
          </cell>
          <cell r="BH7">
            <v>6.7</v>
          </cell>
          <cell r="BI7" t="str">
            <v>Trung bình - Khá</v>
          </cell>
        </row>
        <row r="8">
          <cell r="B8" t="str">
            <v>39-2026/TTĐT</v>
          </cell>
          <cell r="C8" t="str">
            <v>Rô Ô Khiêm</v>
          </cell>
        </row>
        <row r="8">
          <cell r="F8">
            <v>8</v>
          </cell>
        </row>
        <row r="8">
          <cell r="H8">
            <v>7</v>
          </cell>
        </row>
        <row r="8">
          <cell r="J8">
            <v>7.7</v>
          </cell>
          <cell r="K8">
            <v>7</v>
          </cell>
          <cell r="L8">
            <v>7.3</v>
          </cell>
        </row>
        <row r="8">
          <cell r="T8">
            <v>9</v>
          </cell>
          <cell r="U8">
            <v>9</v>
          </cell>
          <cell r="V8">
            <v>9</v>
          </cell>
          <cell r="W8">
            <v>8.4</v>
          </cell>
          <cell r="X8">
            <v>8</v>
          </cell>
        </row>
        <row r="8">
          <cell r="Z8">
            <v>7</v>
          </cell>
        </row>
        <row r="8">
          <cell r="AB8">
            <v>7.7</v>
          </cell>
          <cell r="AC8">
            <v>7</v>
          </cell>
          <cell r="AD8">
            <v>7.3</v>
          </cell>
        </row>
        <row r="8">
          <cell r="AL8">
            <v>9</v>
          </cell>
          <cell r="AM8">
            <v>9</v>
          </cell>
          <cell r="AN8">
            <v>9</v>
          </cell>
          <cell r="AO8">
            <v>8.4</v>
          </cell>
          <cell r="AP8">
            <v>8</v>
          </cell>
        </row>
        <row r="8">
          <cell r="AR8">
            <v>7</v>
          </cell>
        </row>
        <row r="8">
          <cell r="AT8">
            <v>7.7</v>
          </cell>
          <cell r="AU8">
            <v>7</v>
          </cell>
          <cell r="AV8">
            <v>7.3</v>
          </cell>
        </row>
        <row r="8">
          <cell r="BD8">
            <v>9</v>
          </cell>
          <cell r="BE8">
            <v>9</v>
          </cell>
          <cell r="BF8">
            <v>9</v>
          </cell>
          <cell r="BG8">
            <v>8.4</v>
          </cell>
          <cell r="BH8">
            <v>8.4</v>
          </cell>
          <cell r="BI8" t="str">
            <v>Giỏi</v>
          </cell>
        </row>
        <row r="9">
          <cell r="B9" t="str">
            <v>40-2026/TTĐT</v>
          </cell>
          <cell r="C9" t="str">
            <v>Y Du</v>
          </cell>
        </row>
        <row r="9">
          <cell r="F9">
            <v>7</v>
          </cell>
        </row>
        <row r="9">
          <cell r="H9">
            <v>7</v>
          </cell>
        </row>
        <row r="9">
          <cell r="J9">
            <v>7</v>
          </cell>
          <cell r="K9">
            <v>9</v>
          </cell>
          <cell r="L9">
            <v>8.2</v>
          </cell>
        </row>
        <row r="9">
          <cell r="T9">
            <v>6</v>
          </cell>
          <cell r="U9">
            <v>7</v>
          </cell>
          <cell r="V9">
            <v>6.5</v>
          </cell>
          <cell r="W9">
            <v>7.1</v>
          </cell>
          <cell r="X9">
            <v>7</v>
          </cell>
        </row>
        <row r="9">
          <cell r="Z9">
            <v>7</v>
          </cell>
        </row>
        <row r="9">
          <cell r="AB9">
            <v>7</v>
          </cell>
          <cell r="AC9">
            <v>9</v>
          </cell>
          <cell r="AD9">
            <v>8.2</v>
          </cell>
        </row>
        <row r="9">
          <cell r="AL9">
            <v>6</v>
          </cell>
          <cell r="AM9">
            <v>7</v>
          </cell>
          <cell r="AN9">
            <v>6.5</v>
          </cell>
          <cell r="AO9">
            <v>7.1</v>
          </cell>
          <cell r="AP9">
            <v>7</v>
          </cell>
        </row>
        <row r="9">
          <cell r="AR9">
            <v>7</v>
          </cell>
        </row>
        <row r="9">
          <cell r="AT9">
            <v>7</v>
          </cell>
          <cell r="AU9">
            <v>9</v>
          </cell>
          <cell r="AV9">
            <v>8.2</v>
          </cell>
        </row>
        <row r="9">
          <cell r="BD9">
            <v>6</v>
          </cell>
          <cell r="BE9">
            <v>7</v>
          </cell>
          <cell r="BF9">
            <v>6.5</v>
          </cell>
          <cell r="BG9">
            <v>7.1</v>
          </cell>
          <cell r="BH9">
            <v>7.1</v>
          </cell>
          <cell r="BI9" t="str">
            <v>Khá</v>
          </cell>
        </row>
        <row r="10">
          <cell r="B10" t="str">
            <v>41-2026/TTĐT</v>
          </cell>
          <cell r="C10" t="str">
            <v>A Hiền</v>
          </cell>
        </row>
        <row r="10">
          <cell r="F10">
            <v>6</v>
          </cell>
        </row>
        <row r="10">
          <cell r="H10">
            <v>7</v>
          </cell>
        </row>
        <row r="10">
          <cell r="J10">
            <v>6.3</v>
          </cell>
          <cell r="K10">
            <v>8</v>
          </cell>
          <cell r="L10">
            <v>7.3</v>
          </cell>
        </row>
        <row r="10">
          <cell r="T10">
            <v>7</v>
          </cell>
          <cell r="U10">
            <v>6</v>
          </cell>
          <cell r="V10">
            <v>6.5</v>
          </cell>
          <cell r="W10">
            <v>6.8</v>
          </cell>
          <cell r="X10">
            <v>6</v>
          </cell>
        </row>
        <row r="10">
          <cell r="Z10">
            <v>7</v>
          </cell>
        </row>
        <row r="10">
          <cell r="AB10">
            <v>6.3</v>
          </cell>
          <cell r="AC10">
            <v>8</v>
          </cell>
          <cell r="AD10">
            <v>7.3</v>
          </cell>
        </row>
        <row r="10">
          <cell r="AL10">
            <v>7</v>
          </cell>
          <cell r="AM10">
            <v>6</v>
          </cell>
          <cell r="AN10">
            <v>6.5</v>
          </cell>
          <cell r="AO10">
            <v>6.8</v>
          </cell>
          <cell r="AP10">
            <v>6</v>
          </cell>
        </row>
        <row r="10">
          <cell r="AR10">
            <v>7</v>
          </cell>
        </row>
        <row r="10">
          <cell r="AT10">
            <v>6.3</v>
          </cell>
          <cell r="AU10">
            <v>8</v>
          </cell>
          <cell r="AV10">
            <v>7.3</v>
          </cell>
        </row>
        <row r="10">
          <cell r="BD10">
            <v>7</v>
          </cell>
          <cell r="BE10">
            <v>6</v>
          </cell>
          <cell r="BF10">
            <v>6.5</v>
          </cell>
          <cell r="BG10">
            <v>6.8</v>
          </cell>
          <cell r="BH10">
            <v>6.8</v>
          </cell>
          <cell r="BI10" t="str">
            <v>Trung bình - Khá</v>
          </cell>
        </row>
        <row r="11">
          <cell r="B11" t="str">
            <v>42-2026/TTĐT</v>
          </cell>
          <cell r="C11" t="str">
            <v>A Kmal</v>
          </cell>
        </row>
        <row r="11">
          <cell r="F11">
            <v>6</v>
          </cell>
        </row>
        <row r="11">
          <cell r="H11">
            <v>6</v>
          </cell>
        </row>
        <row r="11">
          <cell r="J11">
            <v>6</v>
          </cell>
          <cell r="K11">
            <v>7</v>
          </cell>
          <cell r="L11">
            <v>6.6</v>
          </cell>
        </row>
        <row r="11">
          <cell r="T11">
            <v>7</v>
          </cell>
          <cell r="U11">
            <v>7</v>
          </cell>
          <cell r="V11">
            <v>7</v>
          </cell>
          <cell r="W11">
            <v>6.9</v>
          </cell>
          <cell r="X11">
            <v>6</v>
          </cell>
        </row>
        <row r="11">
          <cell r="Z11">
            <v>6</v>
          </cell>
        </row>
        <row r="11">
          <cell r="AB11">
            <v>6</v>
          </cell>
          <cell r="AC11">
            <v>7</v>
          </cell>
          <cell r="AD11">
            <v>6.6</v>
          </cell>
        </row>
        <row r="11">
          <cell r="AL11">
            <v>7</v>
          </cell>
          <cell r="AM11">
            <v>7</v>
          </cell>
          <cell r="AN11">
            <v>7</v>
          </cell>
          <cell r="AO11">
            <v>6.9</v>
          </cell>
          <cell r="AP11">
            <v>6</v>
          </cell>
        </row>
        <row r="11">
          <cell r="AR11">
            <v>6</v>
          </cell>
        </row>
        <row r="11">
          <cell r="AT11">
            <v>6</v>
          </cell>
          <cell r="AU11">
            <v>7</v>
          </cell>
          <cell r="AV11">
            <v>6.6</v>
          </cell>
        </row>
        <row r="11">
          <cell r="BD11">
            <v>7</v>
          </cell>
          <cell r="BE11">
            <v>7</v>
          </cell>
          <cell r="BF11">
            <v>7</v>
          </cell>
          <cell r="BG11">
            <v>6.9</v>
          </cell>
          <cell r="BH11">
            <v>6.9</v>
          </cell>
          <cell r="BI11" t="str">
            <v>Trung bình - Khá</v>
          </cell>
        </row>
        <row r="12">
          <cell r="B12" t="str">
            <v>43-2026/TTĐT</v>
          </cell>
          <cell r="C12" t="str">
            <v>A Thup</v>
          </cell>
        </row>
        <row r="12">
          <cell r="F12">
            <v>7</v>
          </cell>
        </row>
        <row r="12">
          <cell r="H12">
            <v>6</v>
          </cell>
        </row>
        <row r="12">
          <cell r="J12">
            <v>6.7</v>
          </cell>
          <cell r="K12">
            <v>5</v>
          </cell>
          <cell r="L12">
            <v>5.7</v>
          </cell>
        </row>
        <row r="12">
          <cell r="T12">
            <v>7</v>
          </cell>
          <cell r="U12">
            <v>7</v>
          </cell>
          <cell r="V12">
            <v>7</v>
          </cell>
          <cell r="W12">
            <v>6.6</v>
          </cell>
          <cell r="X12">
            <v>7</v>
          </cell>
        </row>
        <row r="12">
          <cell r="Z12">
            <v>6</v>
          </cell>
        </row>
        <row r="12">
          <cell r="AB12">
            <v>6.7</v>
          </cell>
          <cell r="AC12">
            <v>5</v>
          </cell>
          <cell r="AD12">
            <v>5.7</v>
          </cell>
        </row>
        <row r="12">
          <cell r="AL12">
            <v>7</v>
          </cell>
          <cell r="AM12">
            <v>7</v>
          </cell>
          <cell r="AN12">
            <v>7</v>
          </cell>
          <cell r="AO12">
            <v>6.6</v>
          </cell>
          <cell r="AP12">
            <v>7</v>
          </cell>
        </row>
        <row r="12">
          <cell r="AR12">
            <v>6</v>
          </cell>
        </row>
        <row r="12">
          <cell r="AT12">
            <v>6.7</v>
          </cell>
          <cell r="AU12">
            <v>5</v>
          </cell>
          <cell r="AV12">
            <v>5.7</v>
          </cell>
        </row>
        <row r="12">
          <cell r="BD12">
            <v>7</v>
          </cell>
          <cell r="BE12">
            <v>7</v>
          </cell>
          <cell r="BF12">
            <v>7</v>
          </cell>
          <cell r="BG12">
            <v>6.6</v>
          </cell>
          <cell r="BH12">
            <v>6.6</v>
          </cell>
          <cell r="BI12" t="str">
            <v>Trung bình - Khá</v>
          </cell>
        </row>
        <row r="13">
          <cell r="B13" t="str">
            <v>44-2026/TTĐT</v>
          </cell>
          <cell r="C13" t="str">
            <v>Y Briel</v>
          </cell>
        </row>
        <row r="13">
          <cell r="F13">
            <v>5</v>
          </cell>
        </row>
        <row r="13">
          <cell r="H13">
            <v>5</v>
          </cell>
        </row>
        <row r="13">
          <cell r="J13">
            <v>5</v>
          </cell>
          <cell r="K13">
            <v>7</v>
          </cell>
          <cell r="L13">
            <v>6.2</v>
          </cell>
        </row>
        <row r="13">
          <cell r="T13">
            <v>6</v>
          </cell>
          <cell r="U13">
            <v>7</v>
          </cell>
          <cell r="V13">
            <v>6.5</v>
          </cell>
          <cell r="W13">
            <v>6.4</v>
          </cell>
          <cell r="X13">
            <v>5</v>
          </cell>
        </row>
        <row r="13">
          <cell r="Z13">
            <v>5</v>
          </cell>
        </row>
        <row r="13">
          <cell r="AB13">
            <v>5</v>
          </cell>
          <cell r="AC13">
            <v>7</v>
          </cell>
          <cell r="AD13">
            <v>6.2</v>
          </cell>
        </row>
        <row r="13">
          <cell r="AL13">
            <v>6</v>
          </cell>
          <cell r="AM13">
            <v>7</v>
          </cell>
          <cell r="AN13">
            <v>6.5</v>
          </cell>
          <cell r="AO13">
            <v>6.4</v>
          </cell>
          <cell r="AP13">
            <v>5</v>
          </cell>
        </row>
        <row r="13">
          <cell r="AR13">
            <v>5</v>
          </cell>
        </row>
        <row r="13">
          <cell r="AT13">
            <v>5</v>
          </cell>
          <cell r="AU13">
            <v>7</v>
          </cell>
          <cell r="AV13">
            <v>6.2</v>
          </cell>
        </row>
        <row r="13">
          <cell r="BD13">
            <v>6</v>
          </cell>
          <cell r="BE13">
            <v>7</v>
          </cell>
          <cell r="BF13">
            <v>6.5</v>
          </cell>
          <cell r="BG13">
            <v>6.4</v>
          </cell>
          <cell r="BH13">
            <v>6.4</v>
          </cell>
          <cell r="BI13" t="str">
            <v>Trung bình - Khá</v>
          </cell>
        </row>
        <row r="14">
          <cell r="B14" t="str">
            <v>45-2026/TTĐT</v>
          </cell>
          <cell r="C14" t="str">
            <v>A Char</v>
          </cell>
        </row>
        <row r="14">
          <cell r="F14">
            <v>6</v>
          </cell>
        </row>
        <row r="14">
          <cell r="H14">
            <v>6</v>
          </cell>
        </row>
        <row r="14">
          <cell r="J14">
            <v>6</v>
          </cell>
          <cell r="K14">
            <v>9</v>
          </cell>
          <cell r="L14">
            <v>7.8</v>
          </cell>
        </row>
        <row r="14">
          <cell r="T14">
            <v>6</v>
          </cell>
          <cell r="U14">
            <v>6</v>
          </cell>
          <cell r="V14">
            <v>6</v>
          </cell>
          <cell r="W14">
            <v>6.6</v>
          </cell>
          <cell r="X14">
            <v>6</v>
          </cell>
        </row>
        <row r="14">
          <cell r="Z14">
            <v>6</v>
          </cell>
        </row>
        <row r="14">
          <cell r="AB14">
            <v>6</v>
          </cell>
          <cell r="AC14">
            <v>9</v>
          </cell>
          <cell r="AD14">
            <v>7.8</v>
          </cell>
        </row>
        <row r="14">
          <cell r="AL14">
            <v>6</v>
          </cell>
          <cell r="AM14">
            <v>6</v>
          </cell>
          <cell r="AN14">
            <v>6</v>
          </cell>
          <cell r="AO14">
            <v>6.6</v>
          </cell>
          <cell r="AP14">
            <v>6</v>
          </cell>
        </row>
        <row r="14">
          <cell r="AR14">
            <v>6</v>
          </cell>
        </row>
        <row r="14">
          <cell r="AT14">
            <v>6</v>
          </cell>
          <cell r="AU14">
            <v>9</v>
          </cell>
          <cell r="AV14">
            <v>7.8</v>
          </cell>
        </row>
        <row r="14">
          <cell r="BD14">
            <v>6</v>
          </cell>
          <cell r="BE14">
            <v>6</v>
          </cell>
          <cell r="BF14">
            <v>6</v>
          </cell>
          <cell r="BG14">
            <v>6.6</v>
          </cell>
          <cell r="BH14">
            <v>6.6</v>
          </cell>
          <cell r="BI14" t="str">
            <v>Trung bình - Khá</v>
          </cell>
        </row>
        <row r="15">
          <cell r="B15" t="str">
            <v>46-2026/TTĐT</v>
          </cell>
          <cell r="C15" t="str">
            <v>A Thu</v>
          </cell>
        </row>
        <row r="15">
          <cell r="F15">
            <v>7</v>
          </cell>
        </row>
        <row r="15">
          <cell r="H15">
            <v>6</v>
          </cell>
        </row>
        <row r="15">
          <cell r="J15">
            <v>6.7</v>
          </cell>
          <cell r="K15">
            <v>7</v>
          </cell>
          <cell r="L15">
            <v>6.9</v>
          </cell>
        </row>
        <row r="15">
          <cell r="T15">
            <v>7</v>
          </cell>
          <cell r="U15">
            <v>6</v>
          </cell>
          <cell r="V15">
            <v>6.5</v>
          </cell>
          <cell r="W15">
            <v>6.6</v>
          </cell>
          <cell r="X15">
            <v>7</v>
          </cell>
        </row>
        <row r="15">
          <cell r="Z15">
            <v>6</v>
          </cell>
        </row>
        <row r="15">
          <cell r="AB15">
            <v>6.7</v>
          </cell>
          <cell r="AC15">
            <v>7</v>
          </cell>
          <cell r="AD15">
            <v>6.9</v>
          </cell>
        </row>
        <row r="15">
          <cell r="AL15">
            <v>7</v>
          </cell>
          <cell r="AM15">
            <v>6</v>
          </cell>
          <cell r="AN15">
            <v>6.5</v>
          </cell>
          <cell r="AO15">
            <v>6.6</v>
          </cell>
          <cell r="AP15">
            <v>7</v>
          </cell>
        </row>
        <row r="15">
          <cell r="AR15">
            <v>6</v>
          </cell>
        </row>
        <row r="15">
          <cell r="AT15">
            <v>6.7</v>
          </cell>
          <cell r="AU15">
            <v>7</v>
          </cell>
          <cell r="AV15">
            <v>6.9</v>
          </cell>
        </row>
        <row r="15">
          <cell r="BD15">
            <v>7</v>
          </cell>
          <cell r="BE15">
            <v>6</v>
          </cell>
          <cell r="BF15">
            <v>6.5</v>
          </cell>
          <cell r="BG15">
            <v>6.6</v>
          </cell>
          <cell r="BH15">
            <v>6.6</v>
          </cell>
          <cell r="BI15" t="str">
            <v>Trung bình - Khá</v>
          </cell>
        </row>
        <row r="16">
          <cell r="B16" t="str">
            <v>47-2026/TTĐT</v>
          </cell>
          <cell r="C16" t="str">
            <v>A Hạl</v>
          </cell>
        </row>
        <row r="16">
          <cell r="F16">
            <v>6</v>
          </cell>
        </row>
        <row r="16">
          <cell r="H16">
            <v>7</v>
          </cell>
        </row>
        <row r="16">
          <cell r="J16">
            <v>6.3</v>
          </cell>
          <cell r="K16">
            <v>6</v>
          </cell>
          <cell r="L16">
            <v>6.1</v>
          </cell>
        </row>
        <row r="16">
          <cell r="T16">
            <v>7</v>
          </cell>
          <cell r="U16">
            <v>7</v>
          </cell>
          <cell r="V16">
            <v>7</v>
          </cell>
          <cell r="W16">
            <v>6.7</v>
          </cell>
          <cell r="X16">
            <v>6</v>
          </cell>
        </row>
        <row r="16">
          <cell r="Z16">
            <v>7</v>
          </cell>
        </row>
        <row r="16">
          <cell r="AB16">
            <v>6.3</v>
          </cell>
          <cell r="AC16">
            <v>6</v>
          </cell>
          <cell r="AD16">
            <v>6.1</v>
          </cell>
        </row>
        <row r="16">
          <cell r="AL16">
            <v>7</v>
          </cell>
          <cell r="AM16">
            <v>7</v>
          </cell>
          <cell r="AN16">
            <v>7</v>
          </cell>
          <cell r="AO16">
            <v>6.7</v>
          </cell>
          <cell r="AP16">
            <v>6</v>
          </cell>
        </row>
        <row r="16">
          <cell r="AR16">
            <v>7</v>
          </cell>
        </row>
        <row r="16">
          <cell r="AT16">
            <v>6.3</v>
          </cell>
          <cell r="AU16">
            <v>6</v>
          </cell>
          <cell r="AV16">
            <v>6.1</v>
          </cell>
        </row>
        <row r="16">
          <cell r="BD16">
            <v>7</v>
          </cell>
          <cell r="BE16">
            <v>7</v>
          </cell>
          <cell r="BF16">
            <v>7</v>
          </cell>
          <cell r="BG16">
            <v>6.7</v>
          </cell>
          <cell r="BH16">
            <v>6.7</v>
          </cell>
          <cell r="BI16" t="str">
            <v>Trung bình - Khá</v>
          </cell>
        </row>
        <row r="17">
          <cell r="B17" t="str">
            <v>48-2026/TTĐT</v>
          </cell>
          <cell r="C17" t="str">
            <v>A Chiêr</v>
          </cell>
        </row>
        <row r="17">
          <cell r="F17">
            <v>5</v>
          </cell>
        </row>
        <row r="17">
          <cell r="H17">
            <v>5</v>
          </cell>
        </row>
        <row r="17">
          <cell r="J17">
            <v>5</v>
          </cell>
          <cell r="K17">
            <v>5</v>
          </cell>
          <cell r="L17">
            <v>5</v>
          </cell>
        </row>
        <row r="17">
          <cell r="T17">
            <v>6</v>
          </cell>
          <cell r="U17">
            <v>7</v>
          </cell>
          <cell r="V17">
            <v>6.5</v>
          </cell>
          <cell r="W17">
            <v>6</v>
          </cell>
          <cell r="X17">
            <v>5</v>
          </cell>
        </row>
        <row r="17">
          <cell r="Z17">
            <v>5</v>
          </cell>
        </row>
        <row r="17">
          <cell r="AB17">
            <v>5</v>
          </cell>
          <cell r="AC17">
            <v>5</v>
          </cell>
          <cell r="AD17">
            <v>5</v>
          </cell>
        </row>
        <row r="17">
          <cell r="AL17">
            <v>6</v>
          </cell>
          <cell r="AM17">
            <v>7</v>
          </cell>
          <cell r="AN17">
            <v>6.5</v>
          </cell>
          <cell r="AO17">
            <v>6</v>
          </cell>
          <cell r="AP17">
            <v>5</v>
          </cell>
        </row>
        <row r="17">
          <cell r="AR17">
            <v>5</v>
          </cell>
        </row>
        <row r="17">
          <cell r="AT17">
            <v>5</v>
          </cell>
          <cell r="AU17">
            <v>5</v>
          </cell>
          <cell r="AV17">
            <v>5</v>
          </cell>
        </row>
        <row r="17">
          <cell r="BD17">
            <v>6</v>
          </cell>
          <cell r="BE17">
            <v>7</v>
          </cell>
          <cell r="BF17">
            <v>6.5</v>
          </cell>
          <cell r="BG17">
            <v>6</v>
          </cell>
          <cell r="BH17">
            <v>6</v>
          </cell>
          <cell r="BI17" t="str">
            <v>Trung bình - Khá</v>
          </cell>
        </row>
        <row r="18">
          <cell r="B18" t="str">
            <v>49-2026/TTĐT</v>
          </cell>
          <cell r="C18" t="str">
            <v>A Hương</v>
          </cell>
        </row>
        <row r="18">
          <cell r="F18">
            <v>6</v>
          </cell>
        </row>
        <row r="18">
          <cell r="H18">
            <v>6</v>
          </cell>
        </row>
        <row r="18">
          <cell r="J18">
            <v>6</v>
          </cell>
          <cell r="K18">
            <v>7</v>
          </cell>
          <cell r="L18">
            <v>6.6</v>
          </cell>
        </row>
        <row r="18">
          <cell r="T18">
            <v>6</v>
          </cell>
          <cell r="U18">
            <v>6</v>
          </cell>
          <cell r="V18">
            <v>6</v>
          </cell>
          <cell r="W18">
            <v>6.2</v>
          </cell>
          <cell r="X18">
            <v>6</v>
          </cell>
        </row>
        <row r="18">
          <cell r="Z18">
            <v>6</v>
          </cell>
        </row>
        <row r="18">
          <cell r="AB18">
            <v>6</v>
          </cell>
          <cell r="AC18">
            <v>7</v>
          </cell>
          <cell r="AD18">
            <v>6.6</v>
          </cell>
        </row>
        <row r="18">
          <cell r="AL18">
            <v>6</v>
          </cell>
          <cell r="AM18">
            <v>6</v>
          </cell>
          <cell r="AN18">
            <v>6</v>
          </cell>
          <cell r="AO18">
            <v>6.2</v>
          </cell>
          <cell r="AP18">
            <v>6</v>
          </cell>
        </row>
        <row r="18">
          <cell r="AR18">
            <v>6</v>
          </cell>
        </row>
        <row r="18">
          <cell r="AT18">
            <v>6</v>
          </cell>
          <cell r="AU18">
            <v>7</v>
          </cell>
          <cell r="AV18">
            <v>6.6</v>
          </cell>
        </row>
        <row r="18">
          <cell r="BD18">
            <v>6</v>
          </cell>
          <cell r="BE18">
            <v>6</v>
          </cell>
          <cell r="BF18">
            <v>6</v>
          </cell>
          <cell r="BG18">
            <v>6.2</v>
          </cell>
          <cell r="BH18">
            <v>6.2</v>
          </cell>
          <cell r="BI18" t="str">
            <v>Trung bình - Khá</v>
          </cell>
        </row>
        <row r="19">
          <cell r="B19" t="str">
            <v>50-2026/TTĐT</v>
          </cell>
          <cell r="C19" t="str">
            <v>A Ká</v>
          </cell>
        </row>
        <row r="19">
          <cell r="F19">
            <v>7</v>
          </cell>
        </row>
        <row r="19">
          <cell r="H19">
            <v>6</v>
          </cell>
        </row>
        <row r="19">
          <cell r="J19">
            <v>6.7</v>
          </cell>
          <cell r="K19">
            <v>6</v>
          </cell>
          <cell r="L19">
            <v>6.3</v>
          </cell>
        </row>
        <row r="19">
          <cell r="T19">
            <v>6</v>
          </cell>
          <cell r="U19">
            <v>5</v>
          </cell>
          <cell r="V19">
            <v>5.5</v>
          </cell>
          <cell r="W19">
            <v>5.8</v>
          </cell>
          <cell r="X19">
            <v>7</v>
          </cell>
        </row>
        <row r="19">
          <cell r="Z19">
            <v>6</v>
          </cell>
        </row>
        <row r="19">
          <cell r="AB19">
            <v>6.7</v>
          </cell>
          <cell r="AC19">
            <v>6</v>
          </cell>
          <cell r="AD19">
            <v>6.3</v>
          </cell>
        </row>
        <row r="19">
          <cell r="AL19">
            <v>0</v>
          </cell>
          <cell r="AM19">
            <v>0</v>
          </cell>
          <cell r="AN19">
            <v>0</v>
          </cell>
          <cell r="AO19">
            <v>2.1</v>
          </cell>
          <cell r="AP19">
            <v>7</v>
          </cell>
        </row>
        <row r="19">
          <cell r="AR19">
            <v>6</v>
          </cell>
        </row>
        <row r="19">
          <cell r="AT19">
            <v>6.7</v>
          </cell>
          <cell r="AU19">
            <v>6</v>
          </cell>
          <cell r="AV19">
            <v>6.3</v>
          </cell>
        </row>
        <row r="19">
          <cell r="BD19">
            <v>0</v>
          </cell>
          <cell r="BE19">
            <v>0</v>
          </cell>
          <cell r="BF19">
            <v>0</v>
          </cell>
          <cell r="BG19">
            <v>2.1</v>
          </cell>
          <cell r="BH19">
            <v>3.3</v>
          </cell>
          <cell r="BI19" t="str">
            <v>Không đạt</v>
          </cell>
        </row>
        <row r="20">
          <cell r="B20" t="str">
            <v>51-2026/TTĐT</v>
          </cell>
          <cell r="C20" t="str">
            <v>A Brol</v>
          </cell>
        </row>
        <row r="20">
          <cell r="F20">
            <v>7</v>
          </cell>
        </row>
        <row r="20">
          <cell r="H20">
            <v>7</v>
          </cell>
        </row>
        <row r="20">
          <cell r="J20">
            <v>7</v>
          </cell>
          <cell r="K20">
            <v>7</v>
          </cell>
          <cell r="L20">
            <v>7</v>
          </cell>
        </row>
        <row r="20">
          <cell r="T20">
            <v>6</v>
          </cell>
          <cell r="U20">
            <v>5</v>
          </cell>
          <cell r="V20">
            <v>5.5</v>
          </cell>
          <cell r="W20">
            <v>6</v>
          </cell>
          <cell r="X20">
            <v>7</v>
          </cell>
        </row>
        <row r="20">
          <cell r="Z20">
            <v>7</v>
          </cell>
        </row>
        <row r="20">
          <cell r="AB20">
            <v>7</v>
          </cell>
          <cell r="AC20">
            <v>7</v>
          </cell>
          <cell r="AD20">
            <v>7</v>
          </cell>
        </row>
        <row r="20">
          <cell r="AL20">
            <v>7</v>
          </cell>
          <cell r="AM20">
            <v>7</v>
          </cell>
          <cell r="AN20">
            <v>7</v>
          </cell>
          <cell r="AO20">
            <v>7</v>
          </cell>
          <cell r="AP20">
            <v>7</v>
          </cell>
        </row>
        <row r="20">
          <cell r="AR20">
            <v>7</v>
          </cell>
        </row>
        <row r="20">
          <cell r="AT20">
            <v>7</v>
          </cell>
          <cell r="AU20">
            <v>7</v>
          </cell>
          <cell r="AV20">
            <v>7</v>
          </cell>
        </row>
        <row r="20">
          <cell r="BD20">
            <v>7</v>
          </cell>
          <cell r="BE20">
            <v>7</v>
          </cell>
          <cell r="BF20">
            <v>7</v>
          </cell>
          <cell r="BG20">
            <v>7</v>
          </cell>
          <cell r="BH20">
            <v>6.7</v>
          </cell>
          <cell r="BI20" t="str">
            <v>Trung bình - Khá</v>
          </cell>
        </row>
        <row r="21">
          <cell r="B21" t="str">
            <v>52-2026/TTĐT</v>
          </cell>
          <cell r="C21" t="str">
            <v>A Thiuh</v>
          </cell>
        </row>
        <row r="21">
          <cell r="F21">
            <v>7</v>
          </cell>
        </row>
        <row r="21">
          <cell r="H21">
            <v>7</v>
          </cell>
        </row>
        <row r="21">
          <cell r="J21">
            <v>7</v>
          </cell>
          <cell r="K21">
            <v>7</v>
          </cell>
          <cell r="L21">
            <v>7</v>
          </cell>
        </row>
        <row r="21">
          <cell r="T21">
            <v>7</v>
          </cell>
          <cell r="U21">
            <v>5</v>
          </cell>
          <cell r="V21">
            <v>6</v>
          </cell>
          <cell r="W21">
            <v>6.3</v>
          </cell>
          <cell r="X21">
            <v>7</v>
          </cell>
        </row>
        <row r="21">
          <cell r="Z21">
            <v>7</v>
          </cell>
        </row>
        <row r="21">
          <cell r="AB21">
            <v>7</v>
          </cell>
          <cell r="AC21">
            <v>7</v>
          </cell>
          <cell r="AD21">
            <v>7</v>
          </cell>
        </row>
        <row r="21">
          <cell r="AL21">
            <v>7</v>
          </cell>
          <cell r="AM21">
            <v>7</v>
          </cell>
          <cell r="AN21">
            <v>7</v>
          </cell>
          <cell r="AO21">
            <v>7</v>
          </cell>
          <cell r="AP21">
            <v>7</v>
          </cell>
        </row>
        <row r="21">
          <cell r="AR21">
            <v>7</v>
          </cell>
        </row>
        <row r="21">
          <cell r="AT21">
            <v>7</v>
          </cell>
          <cell r="AU21">
            <v>7</v>
          </cell>
          <cell r="AV21">
            <v>7</v>
          </cell>
        </row>
        <row r="21">
          <cell r="BD21">
            <v>7</v>
          </cell>
          <cell r="BE21">
            <v>7</v>
          </cell>
          <cell r="BF21">
            <v>7</v>
          </cell>
          <cell r="BG21">
            <v>7</v>
          </cell>
          <cell r="BH21">
            <v>6.8</v>
          </cell>
          <cell r="BI21" t="str">
            <v>Trung bình - Khá</v>
          </cell>
        </row>
        <row r="22">
          <cell r="B22" t="str">
            <v>53-2026/TTĐT</v>
          </cell>
          <cell r="C22" t="str">
            <v>A Nhôm</v>
          </cell>
        </row>
        <row r="22">
          <cell r="F22">
            <v>5</v>
          </cell>
        </row>
        <row r="22">
          <cell r="H22">
            <v>7</v>
          </cell>
        </row>
        <row r="22">
          <cell r="J22">
            <v>5.7</v>
          </cell>
          <cell r="K22">
            <v>5</v>
          </cell>
          <cell r="L22">
            <v>5.3</v>
          </cell>
        </row>
        <row r="22">
          <cell r="T22">
            <v>6</v>
          </cell>
          <cell r="U22">
            <v>5</v>
          </cell>
          <cell r="V22">
            <v>5.5</v>
          </cell>
          <cell r="W22">
            <v>5.4</v>
          </cell>
          <cell r="X22">
            <v>5</v>
          </cell>
        </row>
        <row r="22">
          <cell r="Z22">
            <v>7</v>
          </cell>
        </row>
        <row r="22">
          <cell r="AB22">
            <v>5.7</v>
          </cell>
          <cell r="AC22">
            <v>5</v>
          </cell>
          <cell r="AD22">
            <v>5.3</v>
          </cell>
        </row>
        <row r="22">
          <cell r="AL22">
            <v>6</v>
          </cell>
          <cell r="AM22">
            <v>7</v>
          </cell>
          <cell r="AN22">
            <v>6.5</v>
          </cell>
          <cell r="AO22">
            <v>6.1</v>
          </cell>
          <cell r="AP22">
            <v>5</v>
          </cell>
        </row>
        <row r="22">
          <cell r="AR22">
            <v>7</v>
          </cell>
        </row>
        <row r="22">
          <cell r="AT22">
            <v>5.7</v>
          </cell>
          <cell r="AU22">
            <v>5</v>
          </cell>
          <cell r="AV22">
            <v>5.3</v>
          </cell>
        </row>
        <row r="22">
          <cell r="BD22">
            <v>6</v>
          </cell>
          <cell r="BE22">
            <v>7</v>
          </cell>
          <cell r="BF22">
            <v>6.5</v>
          </cell>
          <cell r="BG22">
            <v>6.1</v>
          </cell>
          <cell r="BH22">
            <v>5.9</v>
          </cell>
          <cell r="BI22" t="str">
            <v>Trung bình</v>
          </cell>
        </row>
        <row r="23">
          <cell r="B23" t="str">
            <v>54-2026/TTĐT</v>
          </cell>
          <cell r="C23" t="str">
            <v>A Hoa</v>
          </cell>
        </row>
        <row r="23">
          <cell r="F23">
            <v>6</v>
          </cell>
        </row>
        <row r="23">
          <cell r="H23">
            <v>7</v>
          </cell>
        </row>
        <row r="23">
          <cell r="J23">
            <v>6.3</v>
          </cell>
          <cell r="K23">
            <v>9</v>
          </cell>
          <cell r="L23">
            <v>7.9</v>
          </cell>
        </row>
        <row r="23">
          <cell r="T23">
            <v>5</v>
          </cell>
          <cell r="U23">
            <v>5</v>
          </cell>
          <cell r="V23">
            <v>5</v>
          </cell>
          <cell r="W23">
            <v>6</v>
          </cell>
          <cell r="X23">
            <v>6</v>
          </cell>
        </row>
        <row r="23">
          <cell r="Z23">
            <v>7</v>
          </cell>
        </row>
        <row r="23">
          <cell r="AB23">
            <v>6.3</v>
          </cell>
          <cell r="AC23">
            <v>9</v>
          </cell>
          <cell r="AD23">
            <v>7.9</v>
          </cell>
        </row>
        <row r="23">
          <cell r="AL23">
            <v>5</v>
          </cell>
          <cell r="AM23">
            <v>6</v>
          </cell>
          <cell r="AN23">
            <v>5.5</v>
          </cell>
          <cell r="AO23">
            <v>6.3</v>
          </cell>
          <cell r="AP23">
            <v>6</v>
          </cell>
        </row>
        <row r="23">
          <cell r="AR23">
            <v>7</v>
          </cell>
        </row>
        <row r="23">
          <cell r="AT23">
            <v>6.3</v>
          </cell>
          <cell r="AU23">
            <v>9</v>
          </cell>
          <cell r="AV23">
            <v>7.9</v>
          </cell>
        </row>
        <row r="23">
          <cell r="BD23">
            <v>5</v>
          </cell>
          <cell r="BE23">
            <v>6</v>
          </cell>
          <cell r="BF23">
            <v>5.5</v>
          </cell>
          <cell r="BG23">
            <v>6.3</v>
          </cell>
          <cell r="BH23">
            <v>6.2</v>
          </cell>
          <cell r="BI23" t="str">
            <v>Trung bình - Khá</v>
          </cell>
        </row>
        <row r="24">
          <cell r="B24" t="str">
            <v>55-2026/TTĐT</v>
          </cell>
          <cell r="C24" t="str">
            <v>A Thui</v>
          </cell>
        </row>
        <row r="24">
          <cell r="F24">
            <v>6</v>
          </cell>
        </row>
        <row r="24">
          <cell r="H24">
            <v>6</v>
          </cell>
        </row>
        <row r="24">
          <cell r="J24">
            <v>6</v>
          </cell>
          <cell r="K24">
            <v>9</v>
          </cell>
          <cell r="L24">
            <v>7.8</v>
          </cell>
        </row>
        <row r="24">
          <cell r="T24">
            <v>6</v>
          </cell>
          <cell r="U24">
            <v>5</v>
          </cell>
          <cell r="V24">
            <v>5.5</v>
          </cell>
          <cell r="W24">
            <v>6.3</v>
          </cell>
          <cell r="X24">
            <v>6</v>
          </cell>
        </row>
        <row r="24">
          <cell r="Z24">
            <v>6</v>
          </cell>
        </row>
        <row r="24">
          <cell r="AB24">
            <v>6</v>
          </cell>
          <cell r="AC24">
            <v>9</v>
          </cell>
          <cell r="AD24">
            <v>7.8</v>
          </cell>
        </row>
        <row r="24">
          <cell r="AL24">
            <v>6</v>
          </cell>
          <cell r="AM24">
            <v>7</v>
          </cell>
          <cell r="AN24">
            <v>6.5</v>
          </cell>
          <cell r="AO24">
            <v>6.9</v>
          </cell>
          <cell r="AP24">
            <v>6</v>
          </cell>
        </row>
        <row r="24">
          <cell r="AR24">
            <v>6</v>
          </cell>
        </row>
        <row r="24">
          <cell r="AT24">
            <v>6</v>
          </cell>
          <cell r="AU24">
            <v>9</v>
          </cell>
          <cell r="AV24">
            <v>7.8</v>
          </cell>
        </row>
        <row r="24">
          <cell r="BD24">
            <v>6</v>
          </cell>
          <cell r="BE24">
            <v>7</v>
          </cell>
          <cell r="BF24">
            <v>6.5</v>
          </cell>
          <cell r="BG24">
            <v>6.9</v>
          </cell>
          <cell r="BH24">
            <v>6.7</v>
          </cell>
          <cell r="BI24" t="str">
            <v>Trung bình - Khá</v>
          </cell>
        </row>
        <row r="25">
          <cell r="B25" t="str">
            <v>56-2026/TTĐT</v>
          </cell>
          <cell r="C25" t="str">
            <v>Y Goa</v>
          </cell>
        </row>
        <row r="25">
          <cell r="F25">
            <v>6</v>
          </cell>
        </row>
        <row r="25">
          <cell r="H25">
            <v>6</v>
          </cell>
        </row>
        <row r="25">
          <cell r="J25">
            <v>6</v>
          </cell>
          <cell r="K25">
            <v>7</v>
          </cell>
          <cell r="L25">
            <v>6.6</v>
          </cell>
        </row>
        <row r="25">
          <cell r="T25">
            <v>7</v>
          </cell>
          <cell r="U25">
            <v>7</v>
          </cell>
          <cell r="V25">
            <v>7</v>
          </cell>
          <cell r="W25">
            <v>6.9</v>
          </cell>
          <cell r="X25">
            <v>6</v>
          </cell>
        </row>
        <row r="25">
          <cell r="Z25">
            <v>6</v>
          </cell>
        </row>
        <row r="25">
          <cell r="AB25">
            <v>6</v>
          </cell>
          <cell r="AC25">
            <v>7</v>
          </cell>
          <cell r="AD25">
            <v>6.6</v>
          </cell>
        </row>
        <row r="25">
          <cell r="AL25">
            <v>7</v>
          </cell>
          <cell r="AM25">
            <v>7</v>
          </cell>
          <cell r="AN25">
            <v>7</v>
          </cell>
          <cell r="AO25">
            <v>6.9</v>
          </cell>
          <cell r="AP25">
            <v>6</v>
          </cell>
        </row>
        <row r="25">
          <cell r="AR25">
            <v>6</v>
          </cell>
        </row>
        <row r="25">
          <cell r="AT25">
            <v>6</v>
          </cell>
          <cell r="AU25">
            <v>7</v>
          </cell>
          <cell r="AV25">
            <v>6.6</v>
          </cell>
        </row>
        <row r="25">
          <cell r="BD25">
            <v>7</v>
          </cell>
          <cell r="BE25">
            <v>7</v>
          </cell>
          <cell r="BF25">
            <v>7</v>
          </cell>
          <cell r="BG25">
            <v>6.9</v>
          </cell>
          <cell r="BH25">
            <v>6.9</v>
          </cell>
          <cell r="BI25" t="str">
            <v>Trung bình - Khá</v>
          </cell>
        </row>
        <row r="26">
          <cell r="B26" t="str">
            <v>57-2026/TTĐT</v>
          </cell>
          <cell r="C26" t="str">
            <v>Y Than</v>
          </cell>
        </row>
        <row r="26">
          <cell r="F26">
            <v>7</v>
          </cell>
        </row>
        <row r="26">
          <cell r="H26">
            <v>7</v>
          </cell>
        </row>
        <row r="26">
          <cell r="J26">
            <v>7</v>
          </cell>
          <cell r="K26">
            <v>6</v>
          </cell>
          <cell r="L26">
            <v>6.4</v>
          </cell>
        </row>
        <row r="26">
          <cell r="T26">
            <v>8</v>
          </cell>
          <cell r="U26">
            <v>9</v>
          </cell>
          <cell r="V26">
            <v>8.5</v>
          </cell>
          <cell r="W26">
            <v>7.8</v>
          </cell>
          <cell r="X26">
            <v>7</v>
          </cell>
        </row>
        <row r="26">
          <cell r="Z26">
            <v>7</v>
          </cell>
        </row>
        <row r="26">
          <cell r="AB26">
            <v>7</v>
          </cell>
          <cell r="AC26">
            <v>6</v>
          </cell>
          <cell r="AD26">
            <v>6.4</v>
          </cell>
        </row>
        <row r="26">
          <cell r="AL26">
            <v>8</v>
          </cell>
          <cell r="AM26">
            <v>9</v>
          </cell>
          <cell r="AN26">
            <v>8.5</v>
          </cell>
          <cell r="AO26">
            <v>7.8</v>
          </cell>
          <cell r="AP26">
            <v>7</v>
          </cell>
        </row>
        <row r="26">
          <cell r="AR26">
            <v>7</v>
          </cell>
        </row>
        <row r="26">
          <cell r="AT26">
            <v>7</v>
          </cell>
          <cell r="AU26">
            <v>6</v>
          </cell>
          <cell r="AV26">
            <v>6.4</v>
          </cell>
        </row>
        <row r="26">
          <cell r="BD26">
            <v>8</v>
          </cell>
          <cell r="BE26">
            <v>9</v>
          </cell>
          <cell r="BF26">
            <v>8.5</v>
          </cell>
          <cell r="BG26">
            <v>7.8</v>
          </cell>
          <cell r="BH26">
            <v>7.8</v>
          </cell>
          <cell r="BI26" t="str">
            <v>Khá</v>
          </cell>
        </row>
        <row r="27">
          <cell r="B27" t="str">
            <v>58-2026/TTĐT</v>
          </cell>
          <cell r="C27" t="str">
            <v>Y Hoát</v>
          </cell>
        </row>
        <row r="27">
          <cell r="F27">
            <v>7</v>
          </cell>
        </row>
        <row r="27">
          <cell r="H27">
            <v>7</v>
          </cell>
        </row>
        <row r="27">
          <cell r="J27">
            <v>7</v>
          </cell>
          <cell r="K27">
            <v>8</v>
          </cell>
          <cell r="L27">
            <v>7.6</v>
          </cell>
        </row>
        <row r="27">
          <cell r="T27">
            <v>6</v>
          </cell>
          <cell r="U27">
            <v>7</v>
          </cell>
          <cell r="V27">
            <v>6.5</v>
          </cell>
          <cell r="W27">
            <v>6.9</v>
          </cell>
          <cell r="X27">
            <v>7</v>
          </cell>
        </row>
        <row r="27">
          <cell r="Z27">
            <v>7</v>
          </cell>
        </row>
        <row r="27">
          <cell r="AB27">
            <v>7</v>
          </cell>
          <cell r="AC27">
            <v>8</v>
          </cell>
          <cell r="AD27">
            <v>7.6</v>
          </cell>
        </row>
        <row r="27">
          <cell r="AL27">
            <v>6</v>
          </cell>
          <cell r="AM27">
            <v>7</v>
          </cell>
          <cell r="AN27">
            <v>6.5</v>
          </cell>
          <cell r="AO27">
            <v>6.9</v>
          </cell>
          <cell r="AP27">
            <v>7</v>
          </cell>
        </row>
        <row r="27">
          <cell r="AR27">
            <v>7</v>
          </cell>
        </row>
        <row r="27">
          <cell r="AT27">
            <v>7</v>
          </cell>
          <cell r="AU27">
            <v>8</v>
          </cell>
          <cell r="AV27">
            <v>7.6</v>
          </cell>
        </row>
        <row r="27">
          <cell r="BD27">
            <v>6</v>
          </cell>
          <cell r="BE27">
            <v>7</v>
          </cell>
          <cell r="BF27">
            <v>6.5</v>
          </cell>
          <cell r="BG27">
            <v>6.9</v>
          </cell>
          <cell r="BH27">
            <v>6.9</v>
          </cell>
          <cell r="BI27" t="str">
            <v>Trung bình - Khá</v>
          </cell>
        </row>
        <row r="28">
          <cell r="B28" t="str">
            <v>59-2026/TTĐT</v>
          </cell>
          <cell r="C28" t="str">
            <v>Y Ran</v>
          </cell>
        </row>
        <row r="28">
          <cell r="F28">
            <v>7</v>
          </cell>
        </row>
        <row r="28">
          <cell r="H28">
            <v>6</v>
          </cell>
        </row>
        <row r="28">
          <cell r="J28">
            <v>6.7</v>
          </cell>
          <cell r="K28">
            <v>5</v>
          </cell>
          <cell r="L28">
            <v>5.7</v>
          </cell>
        </row>
        <row r="28">
          <cell r="T28">
            <v>7</v>
          </cell>
          <cell r="U28">
            <v>7</v>
          </cell>
          <cell r="V28">
            <v>7</v>
          </cell>
          <cell r="W28">
            <v>6.6</v>
          </cell>
          <cell r="X28">
            <v>7</v>
          </cell>
        </row>
        <row r="28">
          <cell r="Z28">
            <v>6</v>
          </cell>
        </row>
        <row r="28">
          <cell r="AB28">
            <v>6.7</v>
          </cell>
          <cell r="AC28">
            <v>5</v>
          </cell>
          <cell r="AD28">
            <v>5.7</v>
          </cell>
        </row>
        <row r="28">
          <cell r="AL28">
            <v>7</v>
          </cell>
          <cell r="AM28">
            <v>7</v>
          </cell>
          <cell r="AN28">
            <v>7</v>
          </cell>
          <cell r="AO28">
            <v>6.6</v>
          </cell>
          <cell r="AP28">
            <v>7</v>
          </cell>
        </row>
        <row r="28">
          <cell r="AR28">
            <v>6</v>
          </cell>
        </row>
        <row r="28">
          <cell r="AT28">
            <v>6.7</v>
          </cell>
          <cell r="AU28">
            <v>5</v>
          </cell>
          <cell r="AV28">
            <v>5.7</v>
          </cell>
        </row>
        <row r="28">
          <cell r="BD28">
            <v>7</v>
          </cell>
          <cell r="BE28">
            <v>7</v>
          </cell>
          <cell r="BF28">
            <v>7</v>
          </cell>
          <cell r="BG28">
            <v>6.6</v>
          </cell>
          <cell r="BH28">
            <v>6.6</v>
          </cell>
          <cell r="BI28" t="str">
            <v>Trung bình - Khá</v>
          </cell>
        </row>
        <row r="29">
          <cell r="B29" t="str">
            <v>60-2026/TTĐT</v>
          </cell>
          <cell r="C29" t="str">
            <v>A Lệu</v>
          </cell>
        </row>
        <row r="29">
          <cell r="F29">
            <v>6</v>
          </cell>
        </row>
        <row r="29">
          <cell r="H29">
            <v>7</v>
          </cell>
        </row>
        <row r="29">
          <cell r="J29">
            <v>6.3</v>
          </cell>
          <cell r="K29">
            <v>7</v>
          </cell>
          <cell r="L29">
            <v>6.7</v>
          </cell>
        </row>
        <row r="29">
          <cell r="T29">
            <v>7</v>
          </cell>
          <cell r="U29">
            <v>6</v>
          </cell>
          <cell r="V29">
            <v>6.5</v>
          </cell>
          <cell r="W29">
            <v>6.6</v>
          </cell>
          <cell r="X29">
            <v>6</v>
          </cell>
        </row>
        <row r="29">
          <cell r="Z29">
            <v>7</v>
          </cell>
        </row>
        <row r="29">
          <cell r="AB29">
            <v>6.3</v>
          </cell>
          <cell r="AC29">
            <v>7</v>
          </cell>
          <cell r="AD29">
            <v>6.7</v>
          </cell>
        </row>
        <row r="29">
          <cell r="AL29">
            <v>7</v>
          </cell>
          <cell r="AM29">
            <v>6</v>
          </cell>
          <cell r="AN29">
            <v>6.5</v>
          </cell>
          <cell r="AO29">
            <v>6.6</v>
          </cell>
          <cell r="AP29">
            <v>6</v>
          </cell>
        </row>
        <row r="29">
          <cell r="AR29">
            <v>7</v>
          </cell>
        </row>
        <row r="29">
          <cell r="AT29">
            <v>6.3</v>
          </cell>
          <cell r="AU29">
            <v>7</v>
          </cell>
          <cell r="AV29">
            <v>6.7</v>
          </cell>
        </row>
        <row r="29">
          <cell r="BD29">
            <v>7</v>
          </cell>
          <cell r="BE29">
            <v>6</v>
          </cell>
          <cell r="BF29">
            <v>6.5</v>
          </cell>
          <cell r="BG29">
            <v>6.6</v>
          </cell>
          <cell r="BH29">
            <v>6.6</v>
          </cell>
          <cell r="BI29" t="str">
            <v>Trung bình - Khá</v>
          </cell>
        </row>
        <row r="30">
          <cell r="B30" t="str">
            <v>61-2026/TTĐT</v>
          </cell>
          <cell r="C30" t="str">
            <v>A Ký</v>
          </cell>
        </row>
        <row r="30">
          <cell r="F30">
            <v>6</v>
          </cell>
        </row>
        <row r="30">
          <cell r="H30">
            <v>6</v>
          </cell>
        </row>
        <row r="30">
          <cell r="J30">
            <v>6</v>
          </cell>
          <cell r="K30">
            <v>9</v>
          </cell>
          <cell r="L30">
            <v>7.8</v>
          </cell>
        </row>
        <row r="30">
          <cell r="T30">
            <v>7</v>
          </cell>
          <cell r="U30">
            <v>7</v>
          </cell>
          <cell r="V30">
            <v>7</v>
          </cell>
          <cell r="W30">
            <v>7.3</v>
          </cell>
          <cell r="X30">
            <v>6</v>
          </cell>
        </row>
        <row r="30">
          <cell r="Z30">
            <v>6</v>
          </cell>
        </row>
        <row r="30">
          <cell r="AB30">
            <v>6</v>
          </cell>
          <cell r="AC30">
            <v>9</v>
          </cell>
          <cell r="AD30">
            <v>7.8</v>
          </cell>
        </row>
        <row r="30">
          <cell r="AL30">
            <v>7</v>
          </cell>
          <cell r="AM30">
            <v>7</v>
          </cell>
          <cell r="AN30">
            <v>7</v>
          </cell>
          <cell r="AO30">
            <v>7.3</v>
          </cell>
          <cell r="AP30">
            <v>6</v>
          </cell>
        </row>
        <row r="30">
          <cell r="AR30">
            <v>6</v>
          </cell>
        </row>
        <row r="30">
          <cell r="AT30">
            <v>6</v>
          </cell>
          <cell r="AU30">
            <v>9</v>
          </cell>
          <cell r="AV30">
            <v>7.8</v>
          </cell>
        </row>
        <row r="30">
          <cell r="BD30">
            <v>7</v>
          </cell>
          <cell r="BE30">
            <v>7</v>
          </cell>
          <cell r="BF30">
            <v>7</v>
          </cell>
          <cell r="BG30">
            <v>7.3</v>
          </cell>
          <cell r="BH30">
            <v>7.3</v>
          </cell>
          <cell r="BI30" t="str">
            <v>Khá</v>
          </cell>
        </row>
        <row r="31">
          <cell r="B31" t="str">
            <v>62-2026/TTĐT</v>
          </cell>
          <cell r="C31" t="str">
            <v>A Nhúk</v>
          </cell>
        </row>
        <row r="31">
          <cell r="F31">
            <v>7</v>
          </cell>
        </row>
        <row r="31">
          <cell r="H31">
            <v>6</v>
          </cell>
        </row>
        <row r="31">
          <cell r="J31">
            <v>6.7</v>
          </cell>
          <cell r="K31">
            <v>8</v>
          </cell>
          <cell r="L31">
            <v>7.5</v>
          </cell>
        </row>
        <row r="31">
          <cell r="T31">
            <v>7</v>
          </cell>
          <cell r="U31">
            <v>6</v>
          </cell>
          <cell r="V31">
            <v>6.5</v>
          </cell>
          <cell r="W31">
            <v>6.8</v>
          </cell>
          <cell r="X31">
            <v>7</v>
          </cell>
        </row>
        <row r="31">
          <cell r="Z31">
            <v>6</v>
          </cell>
        </row>
        <row r="31">
          <cell r="AB31">
            <v>6.7</v>
          </cell>
          <cell r="AC31">
            <v>8</v>
          </cell>
          <cell r="AD31">
            <v>7.5</v>
          </cell>
        </row>
        <row r="31">
          <cell r="AL31">
            <v>7</v>
          </cell>
          <cell r="AM31">
            <v>6</v>
          </cell>
          <cell r="AN31">
            <v>6.5</v>
          </cell>
          <cell r="AO31">
            <v>6.8</v>
          </cell>
          <cell r="AP31">
            <v>7</v>
          </cell>
        </row>
        <row r="31">
          <cell r="AR31">
            <v>6</v>
          </cell>
        </row>
        <row r="31">
          <cell r="AT31">
            <v>6.7</v>
          </cell>
          <cell r="AU31">
            <v>8</v>
          </cell>
          <cell r="AV31">
            <v>7.5</v>
          </cell>
        </row>
        <row r="31">
          <cell r="BD31">
            <v>7</v>
          </cell>
          <cell r="BE31">
            <v>6</v>
          </cell>
          <cell r="BF31">
            <v>6.5</v>
          </cell>
          <cell r="BG31">
            <v>6.8</v>
          </cell>
          <cell r="BH31">
            <v>6.8</v>
          </cell>
          <cell r="BI31" t="str">
            <v>Trung bình - Khá</v>
          </cell>
        </row>
        <row r="32">
          <cell r="B32" t="str">
            <v>63-2026/TTĐT</v>
          </cell>
          <cell r="C32" t="str">
            <v>A Đung</v>
          </cell>
        </row>
        <row r="32">
          <cell r="F32">
            <v>6</v>
          </cell>
        </row>
        <row r="32">
          <cell r="H32">
            <v>7</v>
          </cell>
        </row>
        <row r="32">
          <cell r="J32">
            <v>6.3</v>
          </cell>
          <cell r="K32">
            <v>7</v>
          </cell>
          <cell r="L32">
            <v>6.7</v>
          </cell>
        </row>
        <row r="32">
          <cell r="T32">
            <v>7</v>
          </cell>
          <cell r="U32">
            <v>7</v>
          </cell>
          <cell r="V32">
            <v>7</v>
          </cell>
          <cell r="W32">
            <v>6.9</v>
          </cell>
          <cell r="X32">
            <v>6</v>
          </cell>
        </row>
        <row r="32">
          <cell r="Z32">
            <v>7</v>
          </cell>
        </row>
        <row r="32">
          <cell r="AB32">
            <v>6.3</v>
          </cell>
          <cell r="AC32">
            <v>7</v>
          </cell>
          <cell r="AD32">
            <v>6.7</v>
          </cell>
        </row>
        <row r="32">
          <cell r="AL32">
            <v>7</v>
          </cell>
          <cell r="AM32">
            <v>7</v>
          </cell>
          <cell r="AN32">
            <v>7</v>
          </cell>
          <cell r="AO32">
            <v>6.9</v>
          </cell>
          <cell r="AP32">
            <v>6</v>
          </cell>
        </row>
        <row r="32">
          <cell r="AR32">
            <v>7</v>
          </cell>
        </row>
        <row r="32">
          <cell r="AT32">
            <v>6.3</v>
          </cell>
          <cell r="AU32">
            <v>7</v>
          </cell>
          <cell r="AV32">
            <v>6.7</v>
          </cell>
        </row>
        <row r="32">
          <cell r="BD32">
            <v>7</v>
          </cell>
          <cell r="BE32">
            <v>7</v>
          </cell>
          <cell r="BF32">
            <v>7</v>
          </cell>
          <cell r="BG32">
            <v>6.9</v>
          </cell>
          <cell r="BH32">
            <v>6.9</v>
          </cell>
          <cell r="BI32" t="str">
            <v>Trung bình - Khá</v>
          </cell>
        </row>
        <row r="33">
          <cell r="B33" t="str">
            <v>64-2026/TTĐT</v>
          </cell>
          <cell r="C33" t="str">
            <v>Y Hiền</v>
          </cell>
        </row>
        <row r="33">
          <cell r="F33">
            <v>6</v>
          </cell>
        </row>
        <row r="33">
          <cell r="H33">
            <v>7</v>
          </cell>
        </row>
        <row r="33">
          <cell r="J33">
            <v>6.3</v>
          </cell>
          <cell r="K33">
            <v>6</v>
          </cell>
          <cell r="L33">
            <v>6.1</v>
          </cell>
        </row>
        <row r="33">
          <cell r="T33">
            <v>6</v>
          </cell>
          <cell r="U33">
            <v>6</v>
          </cell>
          <cell r="V33">
            <v>6</v>
          </cell>
          <cell r="W33">
            <v>6</v>
          </cell>
          <cell r="X33">
            <v>6</v>
          </cell>
        </row>
        <row r="33">
          <cell r="Z33">
            <v>7</v>
          </cell>
        </row>
        <row r="33">
          <cell r="AB33">
            <v>6.3</v>
          </cell>
          <cell r="AC33">
            <v>6</v>
          </cell>
          <cell r="AD33">
            <v>6.1</v>
          </cell>
        </row>
        <row r="33">
          <cell r="AL33">
            <v>6</v>
          </cell>
          <cell r="AM33">
            <v>6</v>
          </cell>
          <cell r="AN33">
            <v>6</v>
          </cell>
          <cell r="AO33">
            <v>6</v>
          </cell>
          <cell r="AP33">
            <v>6</v>
          </cell>
        </row>
        <row r="33">
          <cell r="AR33">
            <v>7</v>
          </cell>
        </row>
        <row r="33">
          <cell r="AT33">
            <v>6.3</v>
          </cell>
          <cell r="AU33">
            <v>6</v>
          </cell>
          <cell r="AV33">
            <v>6.1</v>
          </cell>
        </row>
        <row r="33">
          <cell r="BD33">
            <v>6</v>
          </cell>
          <cell r="BE33">
            <v>6</v>
          </cell>
          <cell r="BF33">
            <v>6</v>
          </cell>
          <cell r="BG33">
            <v>6</v>
          </cell>
          <cell r="BH33">
            <v>6</v>
          </cell>
          <cell r="BI33" t="str">
            <v>Trung bình - Khá</v>
          </cell>
        </row>
        <row r="34">
          <cell r="B34" t="str">
            <v>65-2026/TTĐT</v>
          </cell>
          <cell r="C34" t="str">
            <v>A Trường</v>
          </cell>
        </row>
        <row r="34">
          <cell r="F34">
            <v>6</v>
          </cell>
        </row>
        <row r="34">
          <cell r="H34">
            <v>7</v>
          </cell>
        </row>
        <row r="34">
          <cell r="J34">
            <v>6.3</v>
          </cell>
          <cell r="K34">
            <v>6</v>
          </cell>
          <cell r="L34">
            <v>6.1</v>
          </cell>
        </row>
        <row r="34">
          <cell r="T34">
            <v>6</v>
          </cell>
          <cell r="U34">
            <v>6</v>
          </cell>
          <cell r="V34">
            <v>6</v>
          </cell>
          <cell r="W34">
            <v>6</v>
          </cell>
          <cell r="X34">
            <v>6</v>
          </cell>
        </row>
        <row r="34">
          <cell r="Z34">
            <v>7</v>
          </cell>
        </row>
        <row r="34">
          <cell r="AB34">
            <v>6.3</v>
          </cell>
          <cell r="AC34">
            <v>6</v>
          </cell>
          <cell r="AD34">
            <v>6.1</v>
          </cell>
        </row>
        <row r="34">
          <cell r="AL34">
            <v>6</v>
          </cell>
          <cell r="AM34">
            <v>6</v>
          </cell>
          <cell r="AN34">
            <v>6</v>
          </cell>
          <cell r="AO34">
            <v>6</v>
          </cell>
          <cell r="AP34">
            <v>6</v>
          </cell>
        </row>
        <row r="34">
          <cell r="AR34">
            <v>7</v>
          </cell>
        </row>
        <row r="34">
          <cell r="AT34">
            <v>6.3</v>
          </cell>
          <cell r="AU34">
            <v>6</v>
          </cell>
          <cell r="AV34">
            <v>6.1</v>
          </cell>
        </row>
        <row r="34">
          <cell r="BD34">
            <v>6</v>
          </cell>
          <cell r="BE34">
            <v>6</v>
          </cell>
          <cell r="BF34">
            <v>6</v>
          </cell>
          <cell r="BG34">
            <v>6</v>
          </cell>
          <cell r="BH34">
            <v>6</v>
          </cell>
          <cell r="BI34" t="str">
            <v>Trung bình - Khá</v>
          </cell>
        </row>
        <row r="35">
          <cell r="B35" t="str">
            <v>66-2026/TTĐT</v>
          </cell>
          <cell r="C35" t="str">
            <v>A Nhúk</v>
          </cell>
        </row>
        <row r="35">
          <cell r="F35">
            <v>6</v>
          </cell>
        </row>
        <row r="35">
          <cell r="H35">
            <v>7</v>
          </cell>
        </row>
        <row r="35">
          <cell r="J35">
            <v>6.3</v>
          </cell>
          <cell r="K35">
            <v>6</v>
          </cell>
          <cell r="L35">
            <v>6.1</v>
          </cell>
        </row>
        <row r="35">
          <cell r="T35">
            <v>6</v>
          </cell>
          <cell r="U35">
            <v>6</v>
          </cell>
          <cell r="V35">
            <v>6</v>
          </cell>
          <cell r="W35">
            <v>6</v>
          </cell>
          <cell r="X35">
            <v>6</v>
          </cell>
        </row>
        <row r="35">
          <cell r="Z35">
            <v>7</v>
          </cell>
        </row>
        <row r="35">
          <cell r="AB35">
            <v>6.3</v>
          </cell>
          <cell r="AC35">
            <v>6</v>
          </cell>
          <cell r="AD35">
            <v>6.1</v>
          </cell>
        </row>
        <row r="35">
          <cell r="AL35">
            <v>6</v>
          </cell>
          <cell r="AM35">
            <v>6</v>
          </cell>
          <cell r="AN35">
            <v>6</v>
          </cell>
          <cell r="AO35">
            <v>6</v>
          </cell>
          <cell r="AP35">
            <v>6</v>
          </cell>
        </row>
        <row r="35">
          <cell r="AR35">
            <v>7</v>
          </cell>
        </row>
        <row r="35">
          <cell r="AT35">
            <v>6.3</v>
          </cell>
          <cell r="AU35">
            <v>6</v>
          </cell>
          <cell r="AV35">
            <v>6.1</v>
          </cell>
        </row>
        <row r="35">
          <cell r="BD35">
            <v>6</v>
          </cell>
          <cell r="BE35">
            <v>6</v>
          </cell>
          <cell r="BF35">
            <v>6</v>
          </cell>
          <cell r="BG35">
            <v>6</v>
          </cell>
          <cell r="BH35">
            <v>6</v>
          </cell>
          <cell r="BI35" t="str">
            <v>Trung bình - Khá</v>
          </cell>
        </row>
        <row r="36">
          <cell r="B36" t="str">
            <v>67-2026/TTĐT</v>
          </cell>
          <cell r="C36" t="str">
            <v>A Đung</v>
          </cell>
        </row>
        <row r="36">
          <cell r="F36">
            <v>6</v>
          </cell>
        </row>
        <row r="36">
          <cell r="H36">
            <v>7</v>
          </cell>
        </row>
        <row r="36">
          <cell r="J36">
            <v>6.3</v>
          </cell>
          <cell r="K36">
            <v>6</v>
          </cell>
          <cell r="L36">
            <v>6.1</v>
          </cell>
        </row>
        <row r="36">
          <cell r="T36">
            <v>6</v>
          </cell>
          <cell r="U36">
            <v>6</v>
          </cell>
          <cell r="V36">
            <v>6</v>
          </cell>
          <cell r="W36">
            <v>6</v>
          </cell>
          <cell r="X36">
            <v>6</v>
          </cell>
        </row>
        <row r="36">
          <cell r="Z36">
            <v>7</v>
          </cell>
        </row>
        <row r="36">
          <cell r="AB36">
            <v>6.3</v>
          </cell>
          <cell r="AC36">
            <v>6</v>
          </cell>
          <cell r="AD36">
            <v>6.1</v>
          </cell>
        </row>
        <row r="36">
          <cell r="AL36">
            <v>6</v>
          </cell>
          <cell r="AM36">
            <v>6</v>
          </cell>
          <cell r="AN36">
            <v>6</v>
          </cell>
          <cell r="AO36">
            <v>6</v>
          </cell>
          <cell r="AP36">
            <v>6</v>
          </cell>
        </row>
        <row r="36">
          <cell r="AR36">
            <v>7</v>
          </cell>
        </row>
        <row r="36">
          <cell r="AT36">
            <v>6.3</v>
          </cell>
          <cell r="AU36">
            <v>6</v>
          </cell>
          <cell r="AV36">
            <v>6.1</v>
          </cell>
        </row>
        <row r="36">
          <cell r="BD36">
            <v>6</v>
          </cell>
          <cell r="BE36">
            <v>6</v>
          </cell>
          <cell r="BF36">
            <v>6</v>
          </cell>
          <cell r="BG36">
            <v>6</v>
          </cell>
          <cell r="BH36">
            <v>6</v>
          </cell>
          <cell r="BI36" t="str">
            <v>Trung bình - Khá</v>
          </cell>
        </row>
        <row r="37">
          <cell r="B37" t="str">
            <v>68-2026/TTĐT</v>
          </cell>
          <cell r="C37" t="str">
            <v>Y Hiền</v>
          </cell>
        </row>
        <row r="37">
          <cell r="F37">
            <v>6</v>
          </cell>
        </row>
        <row r="37">
          <cell r="H37">
            <v>7</v>
          </cell>
        </row>
        <row r="37">
          <cell r="J37">
            <v>6.3</v>
          </cell>
          <cell r="K37">
            <v>6</v>
          </cell>
          <cell r="L37">
            <v>6.1</v>
          </cell>
        </row>
        <row r="37">
          <cell r="T37">
            <v>6</v>
          </cell>
          <cell r="U37">
            <v>6</v>
          </cell>
          <cell r="V37">
            <v>6</v>
          </cell>
          <cell r="W37">
            <v>6</v>
          </cell>
          <cell r="X37">
            <v>6</v>
          </cell>
        </row>
        <row r="37">
          <cell r="Z37">
            <v>7</v>
          </cell>
        </row>
        <row r="37">
          <cell r="AB37">
            <v>6.3</v>
          </cell>
          <cell r="AC37">
            <v>6</v>
          </cell>
          <cell r="AD37">
            <v>6.1</v>
          </cell>
        </row>
        <row r="37">
          <cell r="AL37">
            <v>6</v>
          </cell>
          <cell r="AM37">
            <v>6</v>
          </cell>
          <cell r="AN37">
            <v>6</v>
          </cell>
          <cell r="AO37">
            <v>6</v>
          </cell>
          <cell r="AP37">
            <v>6</v>
          </cell>
        </row>
        <row r="37">
          <cell r="AR37">
            <v>7</v>
          </cell>
        </row>
        <row r="37">
          <cell r="AT37">
            <v>6.3</v>
          </cell>
          <cell r="AU37">
            <v>6</v>
          </cell>
          <cell r="AV37">
            <v>6.1</v>
          </cell>
        </row>
        <row r="37">
          <cell r="BD37">
            <v>6</v>
          </cell>
          <cell r="BE37">
            <v>6</v>
          </cell>
          <cell r="BF37">
            <v>6</v>
          </cell>
          <cell r="BG37">
            <v>6</v>
          </cell>
          <cell r="BH37">
            <v>6</v>
          </cell>
          <cell r="BI37" t="str">
            <v>Trung bình - Khá</v>
          </cell>
        </row>
        <row r="38">
          <cell r="B38" t="str">
            <v>69-2026/TTĐT</v>
          </cell>
          <cell r="C38" t="str">
            <v>A Trường</v>
          </cell>
        </row>
        <row r="38">
          <cell r="F38">
            <v>6</v>
          </cell>
        </row>
        <row r="38">
          <cell r="H38">
            <v>7</v>
          </cell>
        </row>
        <row r="38">
          <cell r="J38">
            <v>6.3</v>
          </cell>
          <cell r="K38">
            <v>6</v>
          </cell>
          <cell r="L38">
            <v>6.1</v>
          </cell>
        </row>
        <row r="38">
          <cell r="T38">
            <v>6</v>
          </cell>
          <cell r="U38">
            <v>6</v>
          </cell>
          <cell r="V38">
            <v>6</v>
          </cell>
          <cell r="W38">
            <v>6</v>
          </cell>
          <cell r="X38">
            <v>6</v>
          </cell>
        </row>
        <row r="38">
          <cell r="Z38">
            <v>7</v>
          </cell>
        </row>
        <row r="38">
          <cell r="AB38">
            <v>6.3</v>
          </cell>
          <cell r="AC38">
            <v>6</v>
          </cell>
          <cell r="AD38">
            <v>6.1</v>
          </cell>
        </row>
        <row r="38">
          <cell r="AL38">
            <v>6</v>
          </cell>
          <cell r="AM38">
            <v>6</v>
          </cell>
          <cell r="AN38">
            <v>6</v>
          </cell>
          <cell r="AO38">
            <v>6</v>
          </cell>
          <cell r="AP38">
            <v>6</v>
          </cell>
        </row>
        <row r="38">
          <cell r="AR38">
            <v>7</v>
          </cell>
        </row>
        <row r="38">
          <cell r="AT38">
            <v>6.3</v>
          </cell>
          <cell r="AU38">
            <v>6</v>
          </cell>
          <cell r="AV38">
            <v>6.1</v>
          </cell>
        </row>
        <row r="38">
          <cell r="BD38">
            <v>6</v>
          </cell>
          <cell r="BE38">
            <v>6</v>
          </cell>
          <cell r="BF38">
            <v>6</v>
          </cell>
          <cell r="BG38">
            <v>6</v>
          </cell>
          <cell r="BH38">
            <v>6</v>
          </cell>
          <cell r="BI38" t="str">
            <v>Trung bình - Khá</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Relationships xmlns="http://schemas.openxmlformats.org/package/2006/relationships"><Relationship Type="http://schemas.openxmlformats.org/officeDocument/2006/relationships/hyperlink" Target="../C:/Program%20Files/VB%20Giaovu/Lop%20hoc/1.%20Quyet%20dinh%20Mo%20lop.dot" TargetMode="External" Id="rId1" /><Relationship Type="http://schemas.openxmlformats.org/officeDocument/2006/relationships/hyperlink" Target="../C:/Program%20Files/VB%20Giaovu/Lop%20hoc/2.%20Quyet%20dinh%20Dieu%20dong%20giao%20vien.dot" TargetMode="External" Id="rId2" /><Relationship Type="http://schemas.openxmlformats.org/officeDocument/2006/relationships/hyperlink" Target="../C:/Program%20Files/VB%20Giaovu/Lop%20hoc/3.%20Quyet%20dinh%20Thanh%20lap%20BQL%20lop.dot" TargetMode="External" Id="rId3" /><Relationship Type="http://schemas.openxmlformats.org/officeDocument/2006/relationships/hyperlink" Target="../C:/Program%20Files/VB%20Giaovu/Lop%20hoc/4.%20Quyet%20dinh%20Thanh%20lap%20Hoi%20dong%20KT%20KTKH.dot" TargetMode="External" Id="rId4" /><Relationship Type="http://schemas.openxmlformats.org/officeDocument/2006/relationships/hyperlink" Target="../C:/Program%20Files/VB%20Giaovu/Lop%20hoc/4.%20Bien%20ban%20Hoi%20dong%20kiem%20tra%20lan%201.dot" TargetMode="External" Id="rId5" /><Relationship Type="http://schemas.openxmlformats.org/officeDocument/2006/relationships/hyperlink" Target="../C:/Program%20Files/VB%20Giaovu/Lop%20hoc/4.%20Ban%20phan%20cong%20Hoi%20dong.dot" TargetMode="External" Id="rId6" /><Relationship Type="http://schemas.openxmlformats.org/officeDocument/2006/relationships/hyperlink" Target="../C:/Program%20Files/VB%20Giaovu/Lop%20hoc/5.%20Bien%20ban%20Hoi%20dong%20kiem%20tra%20lan%201.2.dot" TargetMode="External" Id="rId7" /><Relationship Type="http://schemas.openxmlformats.org/officeDocument/2006/relationships/hyperlink" Target="../C:/Program%20Files/VB%20Giaovu/Lop%20hoc/5.%20Bien%20ban%20Hoi%20dong%20kiem%20tra%20lan%202.dot" TargetMode="External" Id="rId8" /><Relationship Type="http://schemas.openxmlformats.org/officeDocument/2006/relationships/hyperlink" Target="../C:/Program%20Files/VB%20Giaovu/Lop%20hoc/5.%20QD%20cong%20nhan%20tot%20nghiep.dot" TargetMode="External" Id="rId9" /><Relationship Type="http://schemas.openxmlformats.org/officeDocument/2006/relationships/hyperlink" Target="../C:/Program%20Files/VB%20Giaovu/Lop%20hoc/6.%20QD%20Khen%20thuong.dot" TargetMode="External" Id="rId10" /></Relationships>
</file>

<file path=xl/worksheets/sheet1.xml><?xml version="1.0" encoding="utf-8"?>
<worksheet xmlns="http://schemas.openxmlformats.org/spreadsheetml/2006/main">
  <sheetPr filterMode="0">
    <outlinePr summaryBelow="1" summaryRight="1"/>
    <pageSetUpPr fitToPage="0"/>
  </sheetPr>
  <dimension ref="A1:A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9609375" defaultRowHeight="15.4" zeroHeight="0" outlineLevelRow="0"/>
  <cols>
    <col width="8.99" customWidth="1" style="392" min="1" max="257"/>
  </cols>
  <sheetData>
    <row r="1" ht="16.9" customHeight="1" s="393">
      <c r="A1" s="394" t="inlineStr">
        <is>
          <t>Đổi định dạng ngày trên hệ thống máy tính (Windows)</t>
        </is>
      </c>
    </row>
    <row r="2" ht="15.4" customHeight="1" s="393">
      <c r="A2" s="392" t="inlineStr">
        <is>
          <t>Đây là bước quan trọng nhất vì Excel sẽ lấy định dạng mặc định từ hệ thống máy tính của bạn.</t>
        </is>
      </c>
    </row>
    <row r="3" ht="15.4" customHeight="1" s="393">
      <c r="A3" s="395" t="inlineStr">
        <is>
          <t>1. Bấm phím Windows trên bàn phím (hoặc click vào nút Start), gõ chữ Control Panel và mở ứng dụng này lên.</t>
        </is>
      </c>
    </row>
    <row r="4" ht="15.4" customHeight="1" s="393">
      <c r="A4" s="395" t="inlineStr">
        <is>
          <t>2. Tại mục View by ở góc trên bên phải, chọn Category. Sau đó bấm vào Clock and Region (Đồng hồ và Vùng) &gt; Chọn tiếp Region (Vùng).</t>
        </is>
      </c>
    </row>
    <row r="5" ht="15.4" customHeight="1" s="393">
      <c r="A5" s="395" t="inlineStr">
        <is>
          <t>3. Một hộp thoại sẽ hiện ra, tại thẻ Formats:</t>
        </is>
      </c>
    </row>
    <row r="6" ht="15.4" customHeight="1" s="393">
      <c r="A6" s="396" t="inlineStr">
        <is>
          <t>Mục Format: Bạn có thể chọn Vietnamese (Vietnam) hoặc English (United Kingdom).</t>
        </is>
      </c>
    </row>
    <row r="7" ht="15.4" customHeight="1" s="393">
      <c r="A7" s="396" t="inlineStr">
        <is>
          <t>Mục Short date (Ngày ngắn): Bạn click vào mũi tên trỏ xuống và chọn dd/MM/yyyy (nếu không có sẵn, bạn có thể bôi đen và gõ trực tiếp chữ dd/MM/yyyy vào ô này).</t>
        </is>
      </c>
    </row>
    <row r="8" ht="15.4" customHeight="1" s="393">
      <c r="A8" s="397" t="inlineStr">
        <is>
          <t>(Lưu ý: Chữ 'M' viết hoa để hệ thống phân biệt với 'm' là phút).</t>
        </is>
      </c>
    </row>
    <row r="9" ht="15.4" customHeight="1" s="393">
      <c r="A9" s="395" t="inlineStr">
        <is>
          <t>4. Bấm Apply rồi chọn OK.</t>
        </is>
      </c>
    </row>
    <row r="10" ht="15.4" customHeight="1" s="393">
      <c r="A10" s="398" t="inlineStr">
        <is>
          <t>Sau bước này, khi bạn nhìn xuống góc dưới cùng bên phải màn hình máy tính (chỗ hiển thị đồng hồ), bạn sẽ thấy ngày tháng đã được chuyển về chuẩn Việt Nam.</t>
        </is>
      </c>
    </row>
    <row r="11"/>
    <row r="12" ht="15.4" customHeight="1" s="393">
      <c r="A12" s="399" t="inlineStr">
        <is>
          <t>Nhập dữ liệu</t>
        </is>
      </c>
    </row>
    <row r="13" ht="15.4" customHeight="1" s="393">
      <c r="A13" s="392" t="inlineStr">
        <is>
          <t>- Chỉ nhập thông tin cho các sheet "KHÓA HỌC", "THÔNG TIN HV","ĐIỂM"</t>
        </is>
      </c>
    </row>
    <row r="14" ht="15.4" customHeight="1" s="393">
      <c r="A14" s="392" t="inlineStr">
        <is>
          <t>- KHÔNG nhập, điều chỉnh dữ liệu các sheet còn lại.</t>
        </is>
      </c>
    </row>
    <row r="15"/>
    <row r="16" ht="15.4" customHeight="1" s="393">
      <c r="A16" s="399" t="inlineStr">
        <is>
          <t>Điều chỉnh trước khi 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M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6" activeCellId="0" sqref="C26"/>
    </sheetView>
  </sheetViews>
  <sheetFormatPr baseColWidth="8" defaultColWidth="8.99609375" defaultRowHeight="18" zeroHeight="0" outlineLevelRow="0"/>
  <cols>
    <col width="3.24" customWidth="1" style="400" min="1" max="1"/>
    <col width="3.5" customWidth="1" style="400" min="2" max="2"/>
    <col width="21.74" customWidth="1" style="400" min="3" max="3"/>
    <col width="8.99" customWidth="1" style="400" min="4" max="4"/>
    <col width="36.75" customWidth="1" style="400" min="5" max="5"/>
    <col width="3.12" customWidth="1" style="400" min="6" max="6"/>
    <col width="8.99" customWidth="1" style="400" min="7" max="7"/>
    <col width="2.37" customWidth="1" style="400" min="8" max="8"/>
    <col width="20.75" customWidth="1" style="400" min="9" max="9"/>
    <col width="7.12" customWidth="1" style="400" min="10" max="10"/>
    <col width="10.87" customWidth="1" style="400" min="11" max="12"/>
    <col width="3.36" customWidth="1" style="400" min="13" max="13"/>
    <col width="8.99" customWidth="1" style="400" min="14" max="257"/>
  </cols>
  <sheetData>
    <row r="1"/>
    <row r="2" ht="18" customHeight="1" s="393">
      <c r="B2" s="401" t="inlineStr">
        <is>
          <t>THÔNG TIN LỚP HỌC</t>
        </is>
      </c>
      <c r="H2" s="402" t="n"/>
      <c r="I2" s="403" t="inlineStr">
        <is>
          <t>THỐNG KÊ LỚP HỌC</t>
        </is>
      </c>
      <c r="J2" s="404" t="n"/>
      <c r="K2" s="404" t="n"/>
      <c r="L2" s="404" t="n"/>
      <c r="M2" s="402" t="n"/>
    </row>
    <row r="3" ht="36" customHeight="1" s="393">
      <c r="B3" s="405" t="n"/>
      <c r="C3" s="406" t="inlineStr">
        <is>
          <t>Tên nghề đào tạo</t>
        </is>
      </c>
      <c r="D3" s="407" t="n"/>
      <c r="E3" s="408" t="inlineStr">
        <is>
          <t>Chăm sóc cà phê Vối</t>
        </is>
      </c>
      <c r="F3" s="405" t="n"/>
      <c r="H3" s="402" t="n"/>
      <c r="I3" s="409" t="inlineStr">
        <is>
          <t>Nội dung thống kê</t>
        </is>
      </c>
      <c r="J3" s="407" t="n"/>
      <c r="K3" s="410" t="inlineStr">
        <is>
          <t>Nhập
học</t>
        </is>
      </c>
      <c r="L3" s="411" t="inlineStr">
        <is>
          <t>Tốt
nghiệp</t>
        </is>
      </c>
      <c r="M3" s="402" t="n"/>
    </row>
    <row r="4" ht="18" customHeight="1" s="393">
      <c r="B4" s="405" t="n"/>
      <c r="C4" s="412" t="inlineStr">
        <is>
          <t>Khóa</t>
        </is>
      </c>
      <c r="D4" s="407" t="n"/>
      <c r="E4" s="413" t="n">
        <v>1</v>
      </c>
      <c r="F4" s="405" t="n"/>
      <c r="H4" s="402" t="n"/>
      <c r="I4" s="414" t="inlineStr">
        <is>
          <t>Tổng số học viên</t>
        </is>
      </c>
      <c r="J4" s="407" t="n"/>
      <c r="K4" s="415">
        <f>SUM(K5:K9)</f>
        <v/>
      </c>
      <c r="L4" s="416">
        <f>COUNTIF('Thông tin HV'!Z4:Z38,"x")</f>
        <v/>
      </c>
      <c r="M4" s="402" t="n"/>
    </row>
    <row r="5" ht="18" customHeight="1" s="393">
      <c r="B5" s="405" t="n"/>
      <c r="C5" s="412" t="inlineStr">
        <is>
          <t>Năm đào tạo</t>
        </is>
      </c>
      <c r="D5" s="407" t="n"/>
      <c r="E5" s="417" t="n">
        <v>2019</v>
      </c>
      <c r="F5" s="405" t="n"/>
      <c r="H5" s="402" t="n"/>
      <c r="I5" s="418" t="inlineStr">
        <is>
          <t>Nhóm đối tượng</t>
        </is>
      </c>
      <c r="J5" s="419" t="n">
        <v>1</v>
      </c>
      <c r="K5" s="415">
        <f>COUNTIF('Thông tin HV'!$M$4:$M$38,J5)</f>
        <v/>
      </c>
      <c r="L5" s="416">
        <f>COUNTIF(#REF!,J5)</f>
        <v/>
      </c>
      <c r="M5" s="402" t="n"/>
    </row>
    <row r="6" ht="18" customHeight="1" s="393">
      <c r="B6" s="405" t="n"/>
      <c r="C6" s="406" t="inlineStr">
        <is>
          <t>Địa điểm đào tạo</t>
        </is>
      </c>
      <c r="D6" s="420" t="inlineStr">
        <is>
          <t>Xã:</t>
        </is>
      </c>
      <c r="E6" s="417" t="inlineStr">
        <is>
          <t>ĐăkTrăm</t>
        </is>
      </c>
      <c r="F6" s="405" t="n"/>
      <c r="H6" s="402" t="n"/>
      <c r="I6" s="421" t="n"/>
      <c r="J6" s="419" t="n">
        <v>2</v>
      </c>
      <c r="K6" s="415">
        <f>COUNTIF('Thông tin HV'!$M$4:$M$38,J6)</f>
        <v/>
      </c>
      <c r="L6" s="416">
        <f>COUNTIF(#REF!,J6)</f>
        <v/>
      </c>
      <c r="M6" s="402" t="n"/>
    </row>
    <row r="7" ht="18" customHeight="1" s="393">
      <c r="B7" s="405" t="n"/>
      <c r="C7" s="422" t="n"/>
      <c r="D7" s="420" t="inlineStr">
        <is>
          <t>Huyện:</t>
        </is>
      </c>
      <c r="E7" s="417">
        <f>VLOOKUP(E6,#REF!,2,0)</f>
        <v/>
      </c>
      <c r="F7" s="405" t="n"/>
      <c r="H7" s="402" t="n"/>
      <c r="I7" s="421" t="n"/>
      <c r="J7" s="419" t="n">
        <v>3</v>
      </c>
      <c r="K7" s="415">
        <f>COUNTIF('Thông tin HV'!$M$4:$M$38,J7)</f>
        <v/>
      </c>
      <c r="L7" s="415">
        <f>COUNTIFS('Thông tin HV'!Z4:Z38,"x",'Thông tin HV'!L4:L38,"Người dân tộc thiểu số")</f>
        <v/>
      </c>
      <c r="M7" s="402" t="n"/>
    </row>
    <row r="8" ht="18" customHeight="1" s="393">
      <c r="B8" s="405" t="n"/>
      <c r="C8" s="420" t="inlineStr">
        <is>
          <t>Là nghề</t>
        </is>
      </c>
      <c r="D8" s="407" t="n"/>
      <c r="E8" s="423">
        <f>VLOOKUP(E3,IDs!$B$4:$C$33,2,1)</f>
        <v/>
      </c>
      <c r="F8" s="405" t="n"/>
      <c r="H8" s="402" t="n"/>
      <c r="I8" s="421" t="n"/>
      <c r="J8" s="419" t="n">
        <v>4</v>
      </c>
      <c r="K8" s="415">
        <f>COUNTIF('Thông tin HV'!$M$4:$M$38,J8)</f>
        <v/>
      </c>
      <c r="L8" s="416">
        <f>COUNTIF(#REF!,J8)</f>
        <v/>
      </c>
      <c r="M8" s="402" t="n"/>
    </row>
    <row r="9" ht="18" customHeight="1" s="393">
      <c r="B9" s="405" t="n"/>
      <c r="C9" s="405" t="n"/>
      <c r="D9" s="405" t="n"/>
      <c r="E9" s="405" t="n"/>
      <c r="F9" s="405" t="n"/>
      <c r="H9" s="402" t="n"/>
      <c r="I9" s="422" t="n"/>
      <c r="J9" s="419" t="n">
        <v>5</v>
      </c>
      <c r="K9" s="415">
        <f>COUNTIF('Thông tin HV'!$M$4:$M$38,J9)</f>
        <v/>
      </c>
      <c r="L9" s="416">
        <f>COUNTIF(#REF!,J9)</f>
        <v/>
      </c>
      <c r="M9" s="402" t="n"/>
    </row>
    <row r="10" ht="18" customHeight="1" s="393">
      <c r="B10" s="424" t="n"/>
      <c r="C10" s="425" t="n"/>
      <c r="D10" s="425" t="n"/>
      <c r="E10" s="425" t="n"/>
      <c r="F10" s="425" t="n"/>
      <c r="H10" s="402" t="n"/>
      <c r="I10" s="414" t="inlineStr">
        <is>
          <t>Nữ</t>
        </is>
      </c>
      <c r="J10" s="407" t="n"/>
      <c r="K10" s="415">
        <f>COUNTIF('Thông tin HV'!$E$4:$E$38,"Nữ")</f>
        <v/>
      </c>
      <c r="L10" s="416">
        <f>COUNTIFS('Thông tin HV'!Z4:Z38,"x",'Thông tin HV'!E4:E38,"Nữ")</f>
        <v/>
      </c>
      <c r="M10" s="402" t="n"/>
    </row>
    <row r="11" ht="18" customHeight="1" s="393">
      <c r="B11" s="426" t="inlineStr">
        <is>
          <t>CÔNG CỤ TẠO HỒ SƠ LỚP ĐÀO TẠO NGHỀ</t>
        </is>
      </c>
      <c r="H11" s="402" t="n"/>
      <c r="I11" s="414" t="inlineStr">
        <is>
          <t>Dân tộc thiểu số</t>
        </is>
      </c>
      <c r="J11" s="407" t="n"/>
      <c r="K11" s="415">
        <f>COUNTIF('Thông tin HV'!L4:L38,"Người dân tộc thiểu số")</f>
        <v/>
      </c>
      <c r="L11" s="416">
        <f>COUNTIFS('Thông tin HV'!Z4:Z36,"x",'Thông tin HV'!L4:L36,"Người dân tộc thiểu số")</f>
        <v/>
      </c>
      <c r="M11" s="402" t="n"/>
    </row>
    <row r="12" ht="18" customHeight="1" s="393">
      <c r="B12" s="425" t="n">
        <v>1</v>
      </c>
      <c r="C12" s="427" t="inlineStr">
        <is>
          <t>Quyết định mở lớp</t>
        </is>
      </c>
      <c r="D12" s="428" t="n"/>
      <c r="E12" s="425" t="n"/>
      <c r="F12" s="425" t="n"/>
      <c r="H12" s="402" t="n"/>
      <c r="I12" s="414" t="inlineStr">
        <is>
          <t>Nữ dân tộc thiểu số</t>
        </is>
      </c>
      <c r="J12" s="407" t="n"/>
      <c r="K12" s="415">
        <f>COUNTIFS('Thông tin HV'!L4:L38,"Người dân tộc thiểu số",'Thông tin HV'!E4:E38,"Nữ")</f>
        <v/>
      </c>
      <c r="L12" s="416">
        <f>COUNTIFS('Thông tin HV'!Z4:Z38,"x",'Thông tin HV'!L4:L38,"Người dân tộc thiểu số",'Thông tin HV'!E4:E38,"Nữ")</f>
        <v/>
      </c>
      <c r="M12" s="402" t="n"/>
    </row>
    <row r="13" ht="18" customHeight="1" s="393">
      <c r="B13" s="425" t="n">
        <v>2</v>
      </c>
      <c r="C13" s="427" t="inlineStr">
        <is>
          <t>Quyết định điều động</t>
        </is>
      </c>
      <c r="D13" s="428" t="n"/>
      <c r="E13" s="425" t="n"/>
      <c r="F13" s="425" t="n"/>
      <c r="H13" s="402" t="n"/>
      <c r="I13" s="414" t="inlineStr">
        <is>
          <t>Thanh niên</t>
        </is>
      </c>
      <c r="J13" s="407" t="n"/>
      <c r="K13" s="415">
        <f>COUNTIF('Thông tin HV'!I4:I38,"x")</f>
        <v/>
      </c>
      <c r="L13" s="416">
        <f>COUNTIFS('Thông tin HV'!Z4:Z38,"x",'Thông tin HV'!I4:I38,"X")</f>
        <v/>
      </c>
      <c r="M13" s="402" t="n"/>
    </row>
    <row r="14" ht="18" customHeight="1" s="393">
      <c r="B14" s="425" t="n">
        <v>3</v>
      </c>
      <c r="C14" s="427" t="inlineStr">
        <is>
          <t>Quyết định thành lập BQL lớp</t>
        </is>
      </c>
      <c r="D14" s="428" t="n"/>
      <c r="E14" s="425" t="n"/>
      <c r="F14" s="425" t="n"/>
      <c r="H14" s="402" t="n"/>
      <c r="I14" s="414" t="inlineStr">
        <is>
          <t>Thanh niên DTTS</t>
        </is>
      </c>
      <c r="J14" s="407" t="n"/>
      <c r="K14" s="415">
        <f>COUNTIF('Thông tin HV'!J4:J38,"x")</f>
        <v/>
      </c>
      <c r="L14" s="416">
        <f>COUNTIFS('Thông tin HV'!Z4:Z38,"x",'Thông tin HV'!J4:J38,"X")</f>
        <v/>
      </c>
      <c r="M14" s="402" t="n"/>
    </row>
    <row r="15" ht="18" customHeight="1" s="393">
      <c r="B15" s="425" t="n">
        <v>4</v>
      </c>
      <c r="C15" s="427" t="inlineStr">
        <is>
          <t>Quyết định thành lập Hội đồng KT KTKH</t>
        </is>
      </c>
      <c r="D15" s="428" t="n"/>
      <c r="E15" s="425" t="n"/>
      <c r="F15" s="425" t="n"/>
      <c r="H15" s="402" t="n"/>
      <c r="I15" s="429" t="inlineStr">
        <is>
          <t>Tốt nghiệp THCS</t>
        </is>
      </c>
      <c r="J15" s="430" t="inlineStr">
        <is>
          <t>Tổng</t>
        </is>
      </c>
      <c r="K15" s="415">
        <f>COUNTIF('Thông tin HV'!K4:K38,"&gt;=9")</f>
        <v/>
      </c>
      <c r="L15" s="416">
        <f>COUNTIFS('Thông tin HV'!K4:K38,"&gt;=9",'Thông tin HV'!Z4:Z38,"x")</f>
        <v/>
      </c>
      <c r="M15" s="402" t="n"/>
    </row>
    <row r="16" ht="18" customHeight="1" s="393">
      <c r="B16" s="425" t="n">
        <v>5</v>
      </c>
      <c r="C16" s="427" t="inlineStr">
        <is>
          <t>Biên bản họp Hội đồng lần 1</t>
        </is>
      </c>
      <c r="D16" s="428" t="n"/>
      <c r="E16" s="425" t="n"/>
      <c r="F16" s="425" t="n"/>
      <c r="H16" s="402" t="n"/>
      <c r="I16" s="421" t="n"/>
      <c r="J16" s="430" t="inlineStr">
        <is>
          <t>Nữ</t>
        </is>
      </c>
      <c r="K16" s="415">
        <f>COUNTIFS('Thông tin HV'!K4:K38,"&gt;=9",'Thông tin HV'!E4:E38,"Nữ")</f>
        <v/>
      </c>
      <c r="L16" s="416">
        <f>COUNTIFS('Thông tin HV'!Z4:Z38,"x",'Thông tin HV'!K4:K38,"&gt;=9",'Thông tin HV'!E4:E38,"Nữ")</f>
        <v/>
      </c>
      <c r="M16" s="402" t="n"/>
    </row>
    <row r="17" ht="18" customHeight="1" s="393">
      <c r="B17" s="425" t="n">
        <v>6</v>
      </c>
      <c r="C17" s="427" t="inlineStr">
        <is>
          <t>Bản phân công</t>
        </is>
      </c>
      <c r="D17" s="428" t="n"/>
      <c r="E17" s="425" t="n"/>
      <c r="F17" s="425" t="n"/>
      <c r="H17" s="402" t="n"/>
      <c r="I17" s="422" t="n"/>
      <c r="J17" s="430" t="inlineStr">
        <is>
          <t>DTTS</t>
        </is>
      </c>
      <c r="K17" s="415">
        <f>COUNTIFS('Thông tin HV'!K4:K38,"&gt;=9",'Thông tin HV'!L4:L38,"Người dân tộc thiểu số")</f>
        <v/>
      </c>
      <c r="L17" s="415">
        <f>COUNTIFS('Thông tin HV'!L4:L38,"Người dân tộc thiểu số",'Thông tin HV'!Z4:Z38,"x",'Thông tin HV'!K4:K38,"&gt;=9")</f>
        <v/>
      </c>
      <c r="M17" s="402" t="n"/>
    </row>
    <row r="18" ht="18" customHeight="1" s="393">
      <c r="B18" s="425" t="n">
        <v>7</v>
      </c>
      <c r="C18" s="427" t="inlineStr">
        <is>
          <t>Biên bản họp Hội đồng Thi lại</t>
        </is>
      </c>
      <c r="D18" s="428" t="n"/>
      <c r="E18" s="425" t="n"/>
      <c r="F18" s="425" t="n"/>
      <c r="H18" s="402" t="n"/>
      <c r="I18" s="429" t="inlineStr">
        <is>
          <t>Từ 25 tuổi trở xuống</t>
        </is>
      </c>
      <c r="J18" s="430" t="inlineStr">
        <is>
          <t>Tổng</t>
        </is>
      </c>
      <c r="K18" s="415">
        <f>COUNTIF('Thông tin HV'!D4:D38,"&gt;=1994")</f>
        <v/>
      </c>
      <c r="L18" s="416">
        <f>COUNTIFS('Thông tin HV'!Z4:Z38,"x",'Thông tin HV'!AA4:AA38,"&lt;=25")</f>
        <v/>
      </c>
      <c r="M18" s="402" t="n"/>
    </row>
    <row r="19" ht="18" customHeight="1" s="393">
      <c r="B19" s="425" t="n">
        <v>8</v>
      </c>
      <c r="C19" s="427" t="inlineStr">
        <is>
          <t>Biên bản họp Hội đồng lần 2</t>
        </is>
      </c>
      <c r="D19" s="428" t="n"/>
      <c r="E19" s="425" t="n"/>
      <c r="F19" s="425" t="n"/>
      <c r="H19" s="402" t="n"/>
      <c r="I19" s="421" t="n"/>
      <c r="J19" s="430" t="inlineStr">
        <is>
          <t>Nữ</t>
        </is>
      </c>
      <c r="K19" s="415">
        <f>COUNTIFS('Thông tin HV'!D4:D38,"&gt;=1994",'Thông tin HV'!E4:E38,"Nữ")</f>
        <v/>
      </c>
      <c r="L19" s="416">
        <f>COUNTIFS('Thông tin HV'!Z4:Z38,"x",'Thông tin HV'!E4:E38,"Nữ,'Thông tin hoc sinh'!D3:D37, "&lt;="25")</f>
        <v/>
      </c>
      <c r="M19" s="402" t="n"/>
    </row>
    <row r="20" ht="18" customHeight="1" s="393">
      <c r="B20" s="425" t="n">
        <v>9</v>
      </c>
      <c r="C20" s="427" t="inlineStr">
        <is>
          <t>Quyết định công nhận tốt nghiệp</t>
        </is>
      </c>
      <c r="D20" s="428" t="n"/>
      <c r="E20" s="425" t="n"/>
      <c r="F20" s="425" t="n"/>
      <c r="H20" s="402" t="n"/>
      <c r="I20" s="422" t="n"/>
      <c r="J20" s="430" t="inlineStr">
        <is>
          <t>DTTS</t>
        </is>
      </c>
      <c r="K20" s="415">
        <f>COUNTIFS('Thông tin HV'!D4:D38,"&gt;=1994",'Thông tin HV'!L4:L38,"Người dân tộc thiểu số")</f>
        <v/>
      </c>
      <c r="L20" s="416">
        <f>COUNTIFS('Thông tin HV'!Z4:Z38,"x",'Thông tin HV'!L4:L38,"Người dân tộc thiểu số",'Thông tin HV'!AA4:AA38,"&lt;=25")</f>
        <v/>
      </c>
      <c r="M20" s="402" t="n"/>
    </row>
    <row r="21" ht="18" customHeight="1" s="393">
      <c r="B21" s="425" t="n">
        <v>10</v>
      </c>
      <c r="C21" s="427" t="inlineStr">
        <is>
          <t>Quyết định khen thưởng</t>
        </is>
      </c>
      <c r="D21" s="428" t="n"/>
      <c r="E21" s="425" t="n"/>
      <c r="F21" s="425" t="n"/>
      <c r="H21" s="402" t="n"/>
      <c r="I21" s="429" t="inlineStr">
        <is>
          <t>Từ 26 - 45 tuổi</t>
        </is>
      </c>
      <c r="J21" s="430" t="inlineStr">
        <is>
          <t>Tổng</t>
        </is>
      </c>
      <c r="K21" s="415">
        <f>COUNTIFS('Thông tin HV'!D4:D38,"&lt;1994",'Thông tin HV'!D4:D38,"&gt;=1973")</f>
        <v/>
      </c>
      <c r="L21" s="416">
        <f>COUNTIFS('Thông tin HV'!Z4:Z38,"x",'Thông tin HV'!AA4:AA38,"&gt;25",'Thông tin HV'!AA4:AA38,"&lt;=45")</f>
        <v/>
      </c>
      <c r="M21" s="402" t="n"/>
    </row>
    <row r="22" ht="18" customHeight="1" s="393">
      <c r="B22" s="402" t="n"/>
      <c r="C22" s="402" t="n"/>
      <c r="D22" s="402" t="n"/>
      <c r="E22" s="402" t="n"/>
      <c r="F22" s="402" t="n"/>
      <c r="H22" s="402" t="n"/>
      <c r="I22" s="421" t="n"/>
      <c r="J22" s="430" t="inlineStr">
        <is>
          <t>Nữ</t>
        </is>
      </c>
      <c r="K22" s="415">
        <f>COUNTIFS('Thông tin HV'!D4:D38,"&lt;1994",'Thông tin HV'!D4:D38,"&gt;=1973",'Thông tin HV'!E4:E38,"Nữ")</f>
        <v/>
      </c>
      <c r="L22" s="415">
        <f>COUNTIFS('Thông tin HV'!D4:D38,"&lt;1994",'Thông tin HV'!D4:D38,"&gt;=1973",'Thông tin HV'!E4:E38,"Nữ",'Thông tin HV'!Z4:Z38,"x")</f>
        <v/>
      </c>
      <c r="M22" s="402" t="n"/>
    </row>
    <row r="23" ht="18" customHeight="1" s="393">
      <c r="B23" s="402" t="n"/>
      <c r="C23" s="431" t="inlineStr">
        <is>
          <t>XẾP LOẠI TỐT NGHIỆP</t>
        </is>
      </c>
      <c r="D23" s="432" t="n"/>
      <c r="E23" s="407" t="n"/>
      <c r="F23" s="402" t="n"/>
      <c r="H23" s="402" t="n"/>
      <c r="I23" s="422" t="n"/>
      <c r="J23" s="430" t="inlineStr">
        <is>
          <t>DTTS</t>
        </is>
      </c>
      <c r="K23" s="415">
        <f>COUNTIFS('Thông tin HV'!D4:D38,"&lt;1994",'Thông tin HV'!D4:D38,"&gt;=1973",'Thông tin HV'!L4:L38,"Người dân tộc thiểu số")</f>
        <v/>
      </c>
      <c r="L23" s="415">
        <f>COUNTIFS('Thông tin HV'!D4:D38,"&lt;1994",'Thông tin HV'!D4:D38,"&gt;=1973",'Thông tin HV'!L4:L38,"Người dân tộc thiểu số",'Thông tin HV'!Z4:Z38,"x")</f>
        <v/>
      </c>
      <c r="M23" s="402" t="n"/>
    </row>
    <row r="24" ht="18" customHeight="1" s="393">
      <c r="B24" s="402" t="n"/>
      <c r="C24" s="431">
        <f>'Công nhận tốt nghiệp'!K9</f>
        <v/>
      </c>
      <c r="D24" s="433">
        <f>'Công nhận tốt nghiệp'!L9</f>
        <v/>
      </c>
      <c r="E24" s="431">
        <f>'Công nhận tốt nghiệp'!M9</f>
        <v/>
      </c>
      <c r="F24" s="402" t="n"/>
      <c r="H24" s="402" t="n"/>
      <c r="I24" s="429" t="inlineStr">
        <is>
          <t>Từ 46 tuổi trở lên</t>
        </is>
      </c>
      <c r="J24" s="430" t="inlineStr">
        <is>
          <t>Tổng</t>
        </is>
      </c>
      <c r="K24" s="415">
        <f>COUNTIF('Thông tin HV'!D4:D38,"&lt;1973")</f>
        <v/>
      </c>
      <c r="L24" s="415">
        <f>COUNTIFS('Thông tin HV'!D4:D38,"&lt;1973",'Thông tin HV'!Z4:Z38,"x")</f>
        <v/>
      </c>
      <c r="M24" s="402" t="n"/>
    </row>
    <row r="25" ht="18" customHeight="1" s="393">
      <c r="B25" s="402" t="n"/>
      <c r="C25" s="434">
        <f>'Công nhận tốt nghiệp'!K10</f>
        <v/>
      </c>
      <c r="D25" s="435">
        <f>COUNTIF('Công nhận tốt nghiệp'!G8:G38,"&gt;=8,95")</f>
        <v/>
      </c>
      <c r="E25" s="436">
        <f>'Công nhận tốt nghiệp'!M10</f>
        <v/>
      </c>
      <c r="F25" s="402" t="n"/>
      <c r="H25" s="402" t="n"/>
      <c r="I25" s="421" t="n"/>
      <c r="J25" s="430" t="inlineStr">
        <is>
          <t>Nữ</t>
        </is>
      </c>
      <c r="K25" s="415">
        <f>COUNTIFS('Thông tin HV'!D4:D38,"&lt;1973",'Thông tin HV'!E4:E38,"Nữ")</f>
        <v/>
      </c>
      <c r="L25" s="415">
        <f>COUNTIFS('Thông tin HV'!D4:D38,"&lt;1973",'Thông tin HV'!E4:E38,"Nữ",'Thông tin HV'!Z4:Z38,"x")</f>
        <v/>
      </c>
      <c r="M25" s="402" t="n"/>
    </row>
    <row r="26" ht="18" customHeight="1" s="393">
      <c r="B26" s="402" t="n"/>
      <c r="C26" s="434">
        <f>'Công nhận tốt nghiệp'!K11</f>
        <v/>
      </c>
      <c r="D26" s="435">
        <f>COUNTIF('Công nhận tốt nghiệp'!G8:G38,"&gt;=8,0")</f>
        <v/>
      </c>
      <c r="E26" s="436">
        <f>'Công nhận tốt nghiệp'!M11</f>
        <v/>
      </c>
      <c r="F26" s="402" t="n"/>
      <c r="H26" s="402" t="n"/>
      <c r="I26" s="422" t="n"/>
      <c r="J26" s="430" t="inlineStr">
        <is>
          <t>DTTS</t>
        </is>
      </c>
      <c r="K26" s="415">
        <f>COUNTIFS('Thông tin HV'!D4:D38,"&lt;1973",'Thông tin HV'!L4:L38,"Người dân tộc thiểu số")</f>
        <v/>
      </c>
      <c r="L26" s="415">
        <f>COUNTIFS('Thông tin HV'!D4:D38,"&lt;1973",'Thông tin HV'!L4:L38,"Người dân tộc thiểu số",'Thông tin HV'!Z4:Z38,"x")</f>
        <v/>
      </c>
      <c r="M26" s="402" t="n"/>
    </row>
    <row r="27" ht="18" customHeight="1" s="393">
      <c r="B27" s="402" t="n"/>
      <c r="C27" s="434">
        <f>'Công nhận tốt nghiệp'!K12</f>
        <v/>
      </c>
      <c r="D27" s="435">
        <f>COUNTIFS('Công nhận tốt nghiệp'!G8:G38,"&gt;=7,0",'Công nhận tốt nghiệp'!G8:G38,"&lt;8,0")</f>
        <v/>
      </c>
      <c r="E27" s="436">
        <f>'Công nhận tốt nghiệp'!M12</f>
        <v/>
      </c>
      <c r="F27" s="402" t="n"/>
      <c r="H27" s="402" t="n"/>
      <c r="I27" s="402" t="n"/>
      <c r="J27" s="402" t="n"/>
      <c r="K27" s="402" t="n"/>
      <c r="L27" s="402" t="n"/>
      <c r="M27" s="402" t="n"/>
    </row>
    <row r="28" ht="18" customHeight="1" s="393">
      <c r="B28" s="402" t="n"/>
      <c r="C28" s="434">
        <f>'Công nhận tốt nghiệp'!K13</f>
        <v/>
      </c>
      <c r="D28" s="435">
        <f>COUNTIFS('Công nhận tốt nghiệp'!G8:G39,"&gt;=6,0",'Công nhận tốt nghiệp'!G8:G39,"&lt;7,0")</f>
        <v/>
      </c>
      <c r="E28" s="436">
        <f>'Công nhận tốt nghiệp'!M13</f>
        <v/>
      </c>
      <c r="F28" s="402" t="n"/>
    </row>
    <row r="29" ht="18" customHeight="1" s="393">
      <c r="B29" s="402" t="n"/>
      <c r="C29" s="434">
        <f>'Công nhận tốt nghiệp'!K14</f>
        <v/>
      </c>
      <c r="D29" s="435">
        <f>COUNTIFS('Công nhận tốt nghiệp'!G8:G40,"&gt;=5,0",'Công nhận tốt nghiệp'!G8:G40,"&lt;6,0")</f>
        <v/>
      </c>
      <c r="E29" s="436">
        <f>'Công nhận tốt nghiệp'!M14</f>
        <v/>
      </c>
      <c r="F29" s="402" t="n"/>
      <c r="H29" s="437" t="n"/>
    </row>
    <row r="30" ht="18" customHeight="1" s="393">
      <c r="B30" s="402" t="n"/>
      <c r="C30" s="402" t="n"/>
      <c r="D30" s="402" t="n"/>
      <c r="E30" s="402" t="n"/>
      <c r="F30" s="402" t="n"/>
    </row>
  </sheetData>
  <mergeCells count="21">
    <mergeCell ref="I18:I20"/>
    <mergeCell ref="I5:I9"/>
    <mergeCell ref="C5:D5"/>
    <mergeCell ref="I11:J11"/>
    <mergeCell ref="C4:D4"/>
    <mergeCell ref="B2:F2"/>
    <mergeCell ref="B11:F11"/>
    <mergeCell ref="C23:E23"/>
    <mergeCell ref="I15:I17"/>
    <mergeCell ref="I2:L2"/>
    <mergeCell ref="I3:J3"/>
    <mergeCell ref="I12:J12"/>
    <mergeCell ref="I14:J14"/>
    <mergeCell ref="C8:D8"/>
    <mergeCell ref="I4:J4"/>
    <mergeCell ref="I10:J10"/>
    <mergeCell ref="I21:I23"/>
    <mergeCell ref="C6:C7"/>
    <mergeCell ref="I13:J13"/>
    <mergeCell ref="C3:D3"/>
    <mergeCell ref="I24:I26"/>
  </mergeCells>
  <hyperlinks>
    <hyperlink xmlns:r="http://schemas.openxmlformats.org/officeDocument/2006/relationships" ref="C12" display="Quyết định mở lớp" r:id="rId1"/>
    <hyperlink xmlns:r="http://schemas.openxmlformats.org/officeDocument/2006/relationships" ref="C13" display="Quyết định điều động" r:id="rId2"/>
    <hyperlink xmlns:r="http://schemas.openxmlformats.org/officeDocument/2006/relationships" ref="C14" display="Quyết định thành lập BQL lớp" r:id="rId3"/>
    <hyperlink xmlns:r="http://schemas.openxmlformats.org/officeDocument/2006/relationships" ref="C15" display="Quyết định thành lập Hội đồng KT KTKH" r:id="rId4"/>
    <hyperlink xmlns:r="http://schemas.openxmlformats.org/officeDocument/2006/relationships" ref="C16" display="Biên bản họp Hội đồng lần 1" r:id="rId5"/>
    <hyperlink xmlns:r="http://schemas.openxmlformats.org/officeDocument/2006/relationships" ref="C17" display="Bản phân công" r:id="rId6"/>
    <hyperlink xmlns:r="http://schemas.openxmlformats.org/officeDocument/2006/relationships" ref="C18" display="Biên bản họp Hội đồng Thi lại" r:id="rId7"/>
    <hyperlink xmlns:r="http://schemas.openxmlformats.org/officeDocument/2006/relationships" ref="C19" display="Biên bản họp Hội đồng lần 2" r:id="rId8"/>
    <hyperlink xmlns:r="http://schemas.openxmlformats.org/officeDocument/2006/relationships" ref="C20" display="Quyết định công nhận tốt nghiệp" r:id="rId9"/>
    <hyperlink xmlns:r="http://schemas.openxmlformats.org/officeDocument/2006/relationships" ref="C21" display="Quyết định khen thưởng" r:id="rId10"/>
  </hyperlinks>
  <printOptions horizontalCentered="0" verticalCentered="0" headings="0" gridLines="0" gridLinesSet="1"/>
  <pageMargins left="0.708333333333333" right="0.708333333333333" top="0.747916666666667" bottom="0.747916666666667" header="0.511811023622047" footer="0.511811023622047"/>
  <pageSetup orientation="landscape"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9900"/>
    <outlinePr summaryBelow="1" summaryRight="1"/>
    <pageSetUpPr fitToPage="0"/>
  </sheetPr>
  <dimension ref="A1:D31"/>
  <sheetViews>
    <sheetView showFormulas="0" showGridLines="0" showRowColHeaders="1" showZeros="1" rightToLeft="0" tabSelected="0" showOutlineSymbols="1" defaultGridColor="1" view="normal" topLeftCell="A1" colorId="64" zoomScale="85" zoomScaleNormal="85" zoomScalePageLayoutView="100" workbookViewId="0">
      <selection pane="topLeft" activeCell="F12" activeCellId="0" sqref="F12"/>
    </sheetView>
  </sheetViews>
  <sheetFormatPr baseColWidth="8" defaultColWidth="8.99609375" defaultRowHeight="17.65" zeroHeight="0" outlineLevelRow="0"/>
  <cols>
    <col width="3.87" customWidth="1" style="438" min="1" max="1"/>
    <col width="7.8" customWidth="1" style="438" min="2" max="2"/>
    <col width="19.5" customWidth="1" style="438" min="3" max="3"/>
    <col width="69.5" customWidth="1" style="438" min="4" max="4"/>
    <col width="8.99" customWidth="1" style="438" min="5" max="257"/>
  </cols>
  <sheetData>
    <row r="1" ht="18" customHeight="1" s="393"/>
    <row r="2" ht="28.5" customHeight="1" s="393">
      <c r="B2" s="439" t="inlineStr">
        <is>
          <t>THÔNG TIN VỀ KHÓA HỌC</t>
        </is>
      </c>
      <c r="C2" s="440" t="n"/>
      <c r="D2" s="441" t="n"/>
    </row>
    <row r="3" ht="18.4" customHeight="1" s="393">
      <c r="B3" s="442" t="inlineStr">
        <is>
          <t>Tên khóa học</t>
        </is>
      </c>
      <c r="C3" s="443" t="n"/>
      <c r="D3" s="444" t="inlineStr">
        <is>
          <t>01</t>
        </is>
      </c>
    </row>
    <row r="4" ht="18.4" customHeight="1" s="393">
      <c r="B4" s="442" t="inlineStr">
        <is>
          <t>Năm đào tạo</t>
        </is>
      </c>
      <c r="C4" s="443" t="n"/>
      <c r="D4" s="445" t="n">
        <v>2026</v>
      </c>
    </row>
    <row r="5" ht="18.4" customHeight="1" s="393">
      <c r="B5" s="442" t="inlineStr">
        <is>
          <t>Tên nghề đào tạo</t>
        </is>
      </c>
      <c r="C5" s="443" t="n"/>
      <c r="D5" s="446" t="inlineStr">
        <is>
          <t>Trồng và chăm sóc cà phê</t>
        </is>
      </c>
    </row>
    <row r="6" ht="18.4" customHeight="1" s="393">
      <c r="B6" s="442" t="inlineStr">
        <is>
          <t>Thời gian đào tạo</t>
        </is>
      </c>
      <c r="C6" s="443" t="n"/>
      <c r="D6" s="447" t="n"/>
    </row>
    <row r="7" ht="18.4" customHeight="1" s="393">
      <c r="B7" s="443" t="n"/>
      <c r="C7" s="443" t="inlineStr">
        <is>
          <t>Số tháng</t>
        </is>
      </c>
      <c r="D7" s="445" t="n">
        <v>2</v>
      </c>
    </row>
    <row r="8" ht="18.4" customHeight="1" s="393">
      <c r="B8" s="443" t="n"/>
      <c r="C8" s="443" t="inlineStr">
        <is>
          <t>Từ ngày</t>
        </is>
      </c>
      <c r="D8" s="448" t="n">
        <v>46157</v>
      </c>
    </row>
    <row r="9" ht="18.4" customHeight="1" s="393">
      <c r="B9" s="443" t="n"/>
      <c r="C9" s="443" t="inlineStr">
        <is>
          <t>Đến ngày</t>
        </is>
      </c>
      <c r="D9" s="446" t="inlineStr">
        <is>
          <t>15/7/2026</t>
        </is>
      </c>
    </row>
    <row r="10" ht="18.4" customHeight="1" s="393">
      <c r="B10" s="442" t="inlineStr">
        <is>
          <t>Giáo viên chủ nhiệm</t>
        </is>
      </c>
      <c r="C10" s="443" t="n"/>
      <c r="D10" s="449" t="n"/>
    </row>
    <row r="11" ht="18.4" customHeight="1" s="393">
      <c r="B11" s="442" t="inlineStr">
        <is>
          <t>Giáo viên dạy LT</t>
        </is>
      </c>
      <c r="C11" s="443" t="n"/>
      <c r="D11" s="449" t="n"/>
    </row>
    <row r="12" ht="18.4" customHeight="1" s="393">
      <c r="B12" s="442" t="inlineStr">
        <is>
          <t>Giáo viên dạy TH</t>
        </is>
      </c>
      <c r="C12" s="443" t="n"/>
      <c r="D12" s="449" t="n"/>
    </row>
    <row r="13" ht="18.4" customHeight="1" s="393">
      <c r="B13" s="443" t="n"/>
      <c r="C13" s="443" t="n"/>
      <c r="D13" s="449" t="n"/>
    </row>
    <row r="14" ht="18.4" customHeight="1" s="393">
      <c r="B14" s="443" t="n"/>
      <c r="C14" s="443" t="n"/>
      <c r="D14" s="449" t="n"/>
    </row>
    <row r="15" ht="18.4" customHeight="1" s="393">
      <c r="B15" s="442" t="inlineStr">
        <is>
          <t>Địa điểm đào tạo</t>
        </is>
      </c>
      <c r="C15" s="443" t="n"/>
      <c r="D15" s="447" t="n"/>
    </row>
    <row r="16" ht="18.4" customHeight="1" s="393">
      <c r="B16" s="443" t="n"/>
      <c r="C16" s="443" t="inlineStr">
        <is>
          <t>Thôn</t>
        </is>
      </c>
      <c r="D16" s="446" t="inlineStr">
        <is>
          <t>Thôn Đăk Tô 2</t>
        </is>
      </c>
    </row>
    <row r="17" ht="18.4" customHeight="1" s="393">
      <c r="B17" s="443" t="n"/>
      <c r="C17" s="443" t="inlineStr">
        <is>
          <t>Xã</t>
        </is>
      </c>
      <c r="D17" s="446" t="inlineStr">
        <is>
          <t>xã Đăk Tô</t>
        </is>
      </c>
    </row>
    <row r="18" ht="18.4" customHeight="1" s="393">
      <c r="B18" s="443" t="n"/>
      <c r="C18" s="443" t="inlineStr">
        <is>
          <t>Tỉnh</t>
        </is>
      </c>
      <c r="D18" s="446" t="inlineStr">
        <is>
          <t>tỉnh Quảng Ngãi</t>
        </is>
      </c>
    </row>
    <row r="19" ht="18.4" customHeight="1" s="393">
      <c r="B19" s="442" t="inlineStr">
        <is>
          <t>Mục tiêu</t>
        </is>
      </c>
      <c r="C19" s="443" t="n"/>
      <c r="D19" s="450" t="inlineStr">
        <is>
          <t>- Kiến thức
Nhấn tổ hợp phím Alt+Enter  để xuống dòng</t>
        </is>
      </c>
    </row>
    <row r="20" ht="18.4" customHeight="1" s="393">
      <c r="B20" s="443" t="n"/>
      <c r="C20" s="443" t="n"/>
      <c r="D20" s="451" t="n"/>
    </row>
    <row r="21" ht="18.4" customHeight="1" s="393">
      <c r="B21" s="443" t="n"/>
      <c r="C21" s="443" t="n"/>
      <c r="D21" s="451" t="n"/>
    </row>
    <row r="22" ht="18.4" customHeight="1" s="393">
      <c r="B22" s="443" t="n"/>
      <c r="C22" s="443" t="n"/>
      <c r="D22" s="452" t="n"/>
    </row>
    <row r="23" ht="18.4" customHeight="1" s="393">
      <c r="B23" s="443" t="n"/>
      <c r="C23" s="443" t="n"/>
      <c r="D23" s="447" t="n"/>
    </row>
    <row r="24" ht="18.4" customHeight="1" s="393">
      <c r="B24" s="442" t="inlineStr">
        <is>
          <t>Việc làm sau đào tạo</t>
        </is>
      </c>
      <c r="C24" s="443" t="n"/>
      <c r="D24" s="453" t="inlineStr">
        <is>
          <t>Nhiều dòng văn bản</t>
        </is>
      </c>
    </row>
    <row r="25" ht="18.4" customHeight="1" s="393">
      <c r="B25" s="443" t="n"/>
      <c r="C25" s="443" t="n"/>
      <c r="D25" s="452" t="n"/>
    </row>
    <row r="26" ht="18.4" customHeight="1" s="393">
      <c r="B26" s="442" t="inlineStr">
        <is>
          <t>Danh sách các module</t>
        </is>
      </c>
      <c r="C26" s="443" t="n"/>
      <c r="D26" s="454" t="n"/>
    </row>
    <row r="27" ht="18.4" customHeight="1" s="393">
      <c r="B27" s="443" t="n"/>
      <c r="C27" s="443" t="inlineStr">
        <is>
          <t>Mã - Tên module 1</t>
        </is>
      </c>
      <c r="D27" s="455" t="inlineStr">
        <is>
          <t>TCC1 - Trồng cà phê</t>
        </is>
      </c>
    </row>
    <row r="28" ht="18.4" customHeight="1" s="393">
      <c r="B28" s="443" t="n"/>
      <c r="C28" s="443" t="inlineStr">
        <is>
          <t>Mã - Tên module 2</t>
        </is>
      </c>
      <c r="D28" s="455" t="inlineStr">
        <is>
          <t>TCC2 - Chăm sóc cà phê</t>
        </is>
      </c>
    </row>
    <row r="29" ht="18.4" customHeight="1" s="393">
      <c r="B29" s="443" t="n"/>
      <c r="C29" s="443" t="inlineStr">
        <is>
          <t>Mã - Tên module 3</t>
        </is>
      </c>
      <c r="D29" s="455" t="n"/>
    </row>
    <row r="30" ht="18.4" customHeight="1" s="393">
      <c r="B30" s="443" t="n"/>
      <c r="C30" s="443" t="inlineStr">
        <is>
          <t>Mã - Tên module 4</t>
        </is>
      </c>
      <c r="D30" s="455" t="n"/>
    </row>
    <row r="31" ht="18.4" customHeight="1" s="393">
      <c r="B31" s="443" t="n"/>
      <c r="C31" s="443" t="inlineStr">
        <is>
          <t>Mã - Tên module 5</t>
        </is>
      </c>
      <c r="D31" s="455" t="n"/>
    </row>
    <row r="32" ht="18" customHeight="1" s="393"/>
  </sheetData>
  <mergeCells count="3">
    <mergeCell ref="D19:D22"/>
    <mergeCell ref="B2:D2"/>
    <mergeCell ref="D24:D2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08080"/>
    <outlinePr summaryBelow="1" summaryRight="1"/>
    <pageSetUpPr fitToPage="0"/>
  </sheetPr>
  <dimension ref="A1:BH44"/>
  <sheetViews>
    <sheetView showFormulas="0" showGridLines="1" showRowColHeaders="1" showZeros="1" rightToLeft="0" tabSelected="0" showOutlineSymbols="1" defaultGridColor="1" view="normal" topLeftCell="A1" colorId="64" zoomScale="70" zoomScaleNormal="7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F4" activeCellId="0" sqref="F4"/>
    </sheetView>
  </sheetViews>
  <sheetFormatPr baseColWidth="8" defaultColWidth="8.99609375" defaultRowHeight="15.4" zeroHeight="0" outlineLevelRow="0"/>
  <cols>
    <col width="4.87" customWidth="1" style="456" min="1" max="1"/>
    <col width="27.5" customWidth="1" style="456" min="2" max="2"/>
    <col width="27.62" customWidth="1" style="456" min="3" max="3"/>
    <col width="12.12" customWidth="1" style="457" min="4" max="4"/>
    <col width="6.99" customWidth="1" style="392" min="5" max="5"/>
    <col width="13.18" customWidth="1" style="392" min="6" max="6"/>
    <col width="9.119999999999999" customWidth="1" style="392" min="7" max="7"/>
    <col width="6.99" customWidth="1" style="392" min="8" max="8"/>
    <col width="7.56" customWidth="1" style="458" min="9" max="9"/>
    <col width="8.369999999999999" customWidth="1" style="458" min="10" max="10"/>
    <col width="8.24" customWidth="1" style="392" min="11" max="11"/>
    <col width="33.5" customWidth="1" style="392" min="12" max="12"/>
    <col width="6.62" customWidth="1" style="458" min="13" max="13"/>
    <col width="34.81" customWidth="1" style="392" min="14" max="14"/>
    <col width="39.06" customWidth="1" style="392" min="15" max="15"/>
    <col width="34.12" customWidth="1" style="392" min="16" max="16"/>
    <col width="16.18" customWidth="1" style="392" min="17" max="17"/>
    <col width="26.62" customWidth="1" style="392" min="18" max="23"/>
    <col width="24.62" customWidth="1" style="458" min="24" max="24"/>
    <col width="38.62" customWidth="1" style="458" min="25" max="25"/>
    <col width="7.06" customWidth="1" style="458" min="26" max="26"/>
    <col width="12.12" customWidth="1" style="459" min="27" max="27"/>
    <col width="7.93" customWidth="1" style="392" min="28" max="28"/>
    <col width="6.93" customWidth="1" style="392" min="29" max="29"/>
    <col width="7.5" customWidth="1" style="392" min="30" max="31"/>
    <col width="7.93" customWidth="1" style="392" min="32" max="34"/>
    <col width="6.93" customWidth="1" style="392" min="35" max="35"/>
    <col width="7.93" customWidth="1" style="392" min="36" max="36"/>
    <col width="6.93" customWidth="1" style="392" min="37" max="37"/>
    <col width="7.93" customWidth="1" style="392" min="38" max="46"/>
    <col width="6.93" customWidth="1" style="392" min="47" max="47"/>
    <col width="7.93" customWidth="1" style="392" min="48" max="60"/>
    <col width="8.99" customWidth="1" style="392" min="61" max="257"/>
  </cols>
  <sheetData>
    <row r="1"/>
    <row r="2" ht="51.75" customFormat="1" customHeight="1" s="438">
      <c r="A2" s="460" t="inlineStr">
        <is>
          <t>Số
TT</t>
        </is>
      </c>
      <c r="B2" s="460" t="inlineStr">
        <is>
          <t>Mã số HV</t>
        </is>
      </c>
      <c r="C2" s="460" t="inlineStr">
        <is>
          <t>Họ và tên</t>
        </is>
      </c>
      <c r="D2" s="461" t="inlineStr">
        <is>
          <t>Ngày, tháng, năm sinh</t>
        </is>
      </c>
      <c r="E2" s="460" t="inlineStr">
        <is>
          <t>Giới tính</t>
        </is>
      </c>
      <c r="F2" s="460" t="inlineStr">
        <is>
          <t>Số CC/CCCD</t>
        </is>
      </c>
      <c r="G2" s="460" t="inlineStr">
        <is>
          <t>Dân tộc</t>
        </is>
      </c>
      <c r="H2" s="460" t="inlineStr">
        <is>
          <t>Tôn giáo</t>
        </is>
      </c>
      <c r="I2" s="462" t="inlineStr">
        <is>
          <t>Thanh niên</t>
        </is>
      </c>
      <c r="J2" s="462" t="inlineStr">
        <is>
          <t>Thanh niên DTTS</t>
        </is>
      </c>
      <c r="K2" s="460" t="inlineStr">
        <is>
          <t>Trình 
độ 
văn 
hóa</t>
        </is>
      </c>
      <c r="L2" s="460" t="inlineStr">
        <is>
          <t>Nhóm đối tượng</t>
        </is>
      </c>
      <c r="M2" s="463" t="n"/>
      <c r="N2" s="464" t="inlineStr">
        <is>
          <t>Nơi sinh</t>
        </is>
      </c>
      <c r="O2" s="465" t="inlineStr">
        <is>
          <t>Nguyên quán</t>
        </is>
      </c>
      <c r="P2" s="465" t="inlineStr">
        <is>
          <t>Nơi cư trú</t>
        </is>
      </c>
      <c r="Q2" s="465" t="inlineStr">
        <is>
          <t>Điện thoại liên hệ</t>
        </is>
      </c>
      <c r="R2" s="466" t="inlineStr">
        <is>
          <t>Cha</t>
        </is>
      </c>
      <c r="S2" s="463" t="n"/>
      <c r="T2" s="466" t="inlineStr">
        <is>
          <t>Mẹ</t>
        </is>
      </c>
      <c r="U2" s="463" t="n"/>
      <c r="V2" s="466" t="inlineStr">
        <is>
          <t>Vợ/chồng</t>
        </is>
      </c>
      <c r="W2" s="463" t="n"/>
      <c r="X2" s="462" t="inlineStr">
        <is>
          <t>Kiểm tra tuổi</t>
        </is>
      </c>
      <c r="Y2" s="462" t="inlineStr">
        <is>
          <t>Yêu cầu về hồ sơ</t>
        </is>
      </c>
      <c r="Z2" s="462" t="inlineStr">
        <is>
          <t>Tốt
nghiệp</t>
        </is>
      </c>
      <c r="AA2" s="467" t="inlineStr">
        <is>
          <t>Tuổi</t>
        </is>
      </c>
      <c r="AB2" s="460" t="inlineStr">
        <is>
          <t>Nữ
DTTS</t>
        </is>
      </c>
      <c r="AC2" s="468" t="inlineStr">
        <is>
          <t>DTTS</t>
        </is>
      </c>
      <c r="AD2" s="460" t="inlineStr">
        <is>
          <t>Thanh
niên</t>
        </is>
      </c>
      <c r="AE2" s="460" t="inlineStr">
        <is>
          <t>Thanh
niên
DTTS</t>
        </is>
      </c>
      <c r="AF2" s="460" t="inlineStr">
        <is>
          <t>Tốt nghiệp
THCS</t>
        </is>
      </c>
      <c r="AG2" s="469" t="n"/>
      <c r="AH2" s="463" t="n"/>
      <c r="AI2" s="468" t="inlineStr">
        <is>
          <t>Từ 25 tuổi trở xuống</t>
        </is>
      </c>
      <c r="AJ2" s="469" t="n"/>
      <c r="AK2" s="463" t="n"/>
      <c r="AL2" s="468" t="inlineStr">
        <is>
          <t>Từ 26, 45 tuổi</t>
        </is>
      </c>
      <c r="AM2" s="469" t="n"/>
      <c r="AN2" s="463" t="n"/>
      <c r="AO2" s="468" t="inlineStr">
        <is>
          <t>Từ 46 tuổi trở lên</t>
        </is>
      </c>
      <c r="AP2" s="469" t="n"/>
      <c r="AQ2" s="463" t="n"/>
      <c r="AR2" s="468" t="inlineStr">
        <is>
          <t>Nữ</t>
        </is>
      </c>
      <c r="AS2" s="460" t="inlineStr">
        <is>
          <t>Nữ
DTTS</t>
        </is>
      </c>
      <c r="AT2" s="468" t="inlineStr">
        <is>
          <t>DTTS</t>
        </is>
      </c>
      <c r="AU2" s="460" t="inlineStr">
        <is>
          <t>Thanh
niên</t>
        </is>
      </c>
      <c r="AV2" s="460" t="inlineStr">
        <is>
          <t>Thanh
niên
DTTS</t>
        </is>
      </c>
      <c r="AW2" s="460" t="inlineStr">
        <is>
          <t>Tốt nghiệp
THCS</t>
        </is>
      </c>
      <c r="AX2" s="469" t="n"/>
      <c r="AY2" s="463" t="n"/>
      <c r="AZ2" s="468" t="inlineStr">
        <is>
          <t>Từ 25 tuổi trở xuống</t>
        </is>
      </c>
      <c r="BA2" s="469" t="n"/>
      <c r="BB2" s="463" t="n"/>
      <c r="BC2" s="468" t="inlineStr">
        <is>
          <t>Từ 26, 45 tuổi</t>
        </is>
      </c>
      <c r="BD2" s="469" t="n"/>
      <c r="BE2" s="463" t="n"/>
      <c r="BF2" s="468" t="inlineStr">
        <is>
          <t>Từ 46 tuổi trở lên</t>
        </is>
      </c>
      <c r="BG2" s="469" t="n"/>
      <c r="BH2" s="463" t="n"/>
    </row>
    <row r="3" ht="51.75" customFormat="1" customHeight="1" s="438">
      <c r="A3" s="470" t="n"/>
      <c r="B3" s="470" t="n"/>
      <c r="C3" s="470" t="n"/>
      <c r="D3" s="470" t="n"/>
      <c r="E3" s="470" t="n"/>
      <c r="F3" s="470" t="n"/>
      <c r="G3" s="470" t="n"/>
      <c r="H3" s="470" t="n"/>
      <c r="I3" s="470" t="n"/>
      <c r="J3" s="470" t="n"/>
      <c r="K3" s="470" t="n"/>
      <c r="L3" s="471" t="inlineStr">
        <is>
          <t>Tên đối tượng</t>
        </is>
      </c>
      <c r="M3" s="472" t="inlineStr">
        <is>
          <t>Thuộc
nhóm</t>
        </is>
      </c>
      <c r="N3" s="470" t="n"/>
      <c r="O3" s="470" t="n"/>
      <c r="P3" s="470" t="n"/>
      <c r="Q3" s="470" t="n"/>
      <c r="R3" s="473" t="inlineStr">
        <is>
          <t>Tên</t>
        </is>
      </c>
      <c r="S3" s="473" t="inlineStr">
        <is>
          <t>Nghề nghiệp</t>
        </is>
      </c>
      <c r="T3" s="473" t="inlineStr">
        <is>
          <t>Tên</t>
        </is>
      </c>
      <c r="U3" s="473" t="inlineStr">
        <is>
          <t>Nghề nghiệp</t>
        </is>
      </c>
      <c r="V3" s="473" t="inlineStr">
        <is>
          <t>Tên</t>
        </is>
      </c>
      <c r="W3" s="473" t="inlineStr">
        <is>
          <t>Nghề nghiệp</t>
        </is>
      </c>
      <c r="X3" s="470" t="n"/>
      <c r="Y3" s="470" t="n"/>
      <c r="Z3" s="470" t="n"/>
      <c r="AA3" s="470" t="n"/>
      <c r="AB3" s="470" t="n"/>
      <c r="AC3" s="470" t="n"/>
      <c r="AD3" s="470" t="n"/>
      <c r="AE3" s="470" t="n"/>
      <c r="AF3" s="468" t="inlineStr">
        <is>
          <t>Tổng</t>
        </is>
      </c>
      <c r="AG3" s="468" t="inlineStr">
        <is>
          <t>Nữ</t>
        </is>
      </c>
      <c r="AH3" s="468" t="inlineStr">
        <is>
          <t>DTTS</t>
        </is>
      </c>
      <c r="AI3" s="468" t="inlineStr">
        <is>
          <t>Tổng</t>
        </is>
      </c>
      <c r="AJ3" s="468" t="inlineStr">
        <is>
          <t>Nữ</t>
        </is>
      </c>
      <c r="AK3" s="468" t="inlineStr">
        <is>
          <t>DTTS</t>
        </is>
      </c>
      <c r="AL3" s="468" t="inlineStr">
        <is>
          <t>Tổng</t>
        </is>
      </c>
      <c r="AM3" s="468" t="inlineStr">
        <is>
          <t>Nữ</t>
        </is>
      </c>
      <c r="AN3" s="468" t="inlineStr">
        <is>
          <t>DTTS</t>
        </is>
      </c>
      <c r="AO3" s="468" t="inlineStr">
        <is>
          <t>Tổng</t>
        </is>
      </c>
      <c r="AP3" s="468" t="inlineStr">
        <is>
          <t>Nữ</t>
        </is>
      </c>
      <c r="AQ3" s="468" t="inlineStr">
        <is>
          <t>DTTS</t>
        </is>
      </c>
      <c r="AR3" s="470" t="n"/>
      <c r="AS3" s="470" t="n"/>
      <c r="AT3" s="470" t="n"/>
      <c r="AU3" s="470" t="n"/>
      <c r="AV3" s="470" t="n"/>
      <c r="AW3" s="468" t="inlineStr">
        <is>
          <t>Tổng</t>
        </is>
      </c>
      <c r="AX3" s="468" t="inlineStr">
        <is>
          <t>Nữ</t>
        </is>
      </c>
      <c r="AY3" s="468" t="inlineStr">
        <is>
          <t>DTTS</t>
        </is>
      </c>
      <c r="AZ3" s="468" t="inlineStr">
        <is>
          <t>Tổng</t>
        </is>
      </c>
      <c r="BA3" s="468" t="inlineStr">
        <is>
          <t>Nữ</t>
        </is>
      </c>
      <c r="BB3" s="468" t="inlineStr">
        <is>
          <t>DTTS</t>
        </is>
      </c>
      <c r="BC3" s="468" t="inlineStr">
        <is>
          <t>Tổng</t>
        </is>
      </c>
      <c r="BD3" s="468" t="inlineStr">
        <is>
          <t>Nữ</t>
        </is>
      </c>
      <c r="BE3" s="468" t="inlineStr">
        <is>
          <t>DTTS</t>
        </is>
      </c>
      <c r="BF3" s="468" t="inlineStr">
        <is>
          <t>Tổng</t>
        </is>
      </c>
      <c r="BG3" s="468" t="inlineStr">
        <is>
          <t>Nữ</t>
        </is>
      </c>
      <c r="BH3" s="468" t="inlineStr">
        <is>
          <t>DTTS</t>
        </is>
      </c>
    </row>
    <row r="4" ht="24" customFormat="1" customHeight="1" s="474">
      <c r="A4" s="475" t="inlineStr">
        <is>
          <t>01</t>
        </is>
      </c>
      <c r="B4" s="475" t="n"/>
      <c r="C4" s="476" t="inlineStr">
        <is>
          <t>A HVun</t>
        </is>
      </c>
      <c r="D4" s="477" t="n">
        <v>39518</v>
      </c>
      <c r="E4" s="478" t="inlineStr">
        <is>
          <t>Nam</t>
        </is>
      </c>
      <c r="F4" s="479" t="n"/>
      <c r="G4" s="480" t="inlineStr">
        <is>
          <t>Xê Đăng</t>
        </is>
      </c>
      <c r="H4" s="478" t="n"/>
      <c r="I4" s="481">
        <f>IF(AA4="","",IF(AA4&lt;=30,"X",""))</f>
        <v/>
      </c>
      <c r="J4" s="481">
        <f>IF(AND(I4="X",G4&lt;&gt;"Kinh"),"X","")</f>
        <v/>
      </c>
      <c r="K4" s="482" t="n">
        <v>9</v>
      </c>
      <c r="L4" s="483" t="inlineStr">
        <is>
          <t>Người dân tộc thiểu số</t>
        </is>
      </c>
      <c r="M4" s="484">
        <f>VLOOKUP(L4,IDs!$H$3:$I$12,2,0)</f>
        <v/>
      </c>
      <c r="N4" s="485" t="inlineStr">
        <is>
          <t>Thôn ĐăkTrăm, xã Kon Đào, Quảng Ngãi</t>
        </is>
      </c>
      <c r="O4" s="485" t="inlineStr">
        <is>
          <t>Thôn ĐăkTrăm, xã Kon Đào, Quảng Ngãi</t>
        </is>
      </c>
      <c r="P4" s="485" t="inlineStr">
        <is>
          <t>Thôn ĐăkTrăm, xã Kon Đào, Quảng Ngãi</t>
        </is>
      </c>
      <c r="Q4" s="485" t="n"/>
      <c r="R4" s="486" t="n"/>
      <c r="S4" s="486" t="n"/>
      <c r="T4" s="486" t="n"/>
      <c r="U4" s="486" t="n"/>
      <c r="V4" s="486" t="n"/>
      <c r="W4" s="486" t="n"/>
      <c r="X4" s="487">
        <f>IF(D4="","",IF(YEAR(TODAY())-D4&lt;15,"Không đủ tuổi theo học",IF(AND(E4="Nam",YEAR(TODAY())-D4&gt;60),"Quá tuổi theo học",IF(AND(E4="Nữ",YEAR(TODAY())-D4&gt;55),"Quá tuổi theo học","Đảm bảo"))))</f>
        <v/>
      </c>
      <c r="Y4" s="487">
        <f>IF(C4="","",IF(OR(LEFT(C4,1)="Y",LEFT(C4,1)="A"),"",IF(L4&lt;&gt;"Đối tượng lao động nông thôn khác","Cần hồ sơ chứng minh nhóm đối tượng","")))</f>
        <v/>
      </c>
      <c r="Z4" s="488" t="n"/>
      <c r="AA4" s="481">
        <f>IF(OR(D4="",'KHÓA HỌC'!$D$8=""),"",DATEDIF(D4,'KHÓA HỌC'!$D$8,"y"))</f>
        <v/>
      </c>
      <c r="AB4" s="489">
        <f>IF(C4&lt;&gt;"",AND(E4="Nữ",L4="Người dân tộc thiểu số"),"")</f>
        <v/>
      </c>
      <c r="AC4" s="489">
        <f>IF(C4&lt;&gt;"",L4="Người dân tộc thiểu số","")</f>
        <v/>
      </c>
      <c r="AD4" s="490">
        <f>IF(C4&lt;&gt;"",'THỐNG KÊ'!$E$5-'Thông tin HV'!D4&lt;31,"")</f>
        <v/>
      </c>
      <c r="AE4" s="489">
        <f>IF(C4&lt;&gt;"",AND(AC4,AD4),"")</f>
        <v/>
      </c>
      <c r="AF4" s="489">
        <f>IF(C4&lt;&gt;"",(K4&gt;=9),"")</f>
        <v/>
      </c>
      <c r="AG4" s="489">
        <f>IF(C4&lt;&gt;"",AND(AF4,E4="Nữ"),"")</f>
        <v/>
      </c>
      <c r="AH4" s="489">
        <f>IF(C4&lt;&gt;"",AND(AF4,AC4),"")</f>
        <v/>
      </c>
      <c r="AI4" s="489">
        <f>IF(C4&lt;&gt;"",'THỐNG KÊ'!$E$5-'Thông tin HV'!D4&lt;26,"")</f>
        <v/>
      </c>
      <c r="AJ4" s="489">
        <f>IF(C4&lt;&gt;"",AND(AI4,E4="Nữ"),"")</f>
        <v/>
      </c>
      <c r="AK4" s="489">
        <f>IF(C4&lt;&gt;"",AND(AI4,AC4),"")</f>
        <v/>
      </c>
      <c r="AL4" s="489">
        <f>IF(C4&lt;&gt;"",AND('THỐNG KÊ'!$E$5-'Thông tin HV'!D4&gt;=26,'THỐNG KÊ'!$E$5-'Thông tin HV'!D4&lt;=45),"")</f>
        <v/>
      </c>
      <c r="AM4" s="489">
        <f>IF(C4&lt;&gt;"",AND(AL4,E4="Nữ"),"")</f>
        <v/>
      </c>
      <c r="AN4" s="489">
        <f>IF(C4&lt;&gt;"",AND(AL4,AC4),"")</f>
        <v/>
      </c>
      <c r="AO4" s="489">
        <f>IF(C4&lt;&gt;"",'THỐNG KÊ'!$E$5-'Thông tin HV'!D4&gt;45,"")</f>
        <v/>
      </c>
      <c r="AP4" s="489">
        <f>IF(C4&lt;&gt;"",AND(AO4,E4="Nữ"),"")</f>
        <v/>
      </c>
      <c r="AQ4" s="489">
        <f>IF(C4&lt;&gt;"",AND(AO4,AC4),"")</f>
        <v/>
      </c>
      <c r="AR4" s="489">
        <f>IF(C4&lt;&gt;"",AND(Z4="x",E4="Nữ"),"")</f>
        <v/>
      </c>
      <c r="AS4" s="489">
        <f>IF(C4&lt;&gt;"",AND(Z4="x",E4="Nữ",L4="Người dân tộc thiểu số"),"")</f>
        <v/>
      </c>
      <c r="AT4" s="489">
        <f>IF(C4&lt;&gt;"",AND(Z4="x",L4="Người dân tộc thiểu số"),"")</f>
        <v/>
      </c>
      <c r="AU4" s="490">
        <f>IF(C4&lt;&gt;"",AND(Z4="x",'THỐNG KÊ'!$E$5-'Thông tin HV'!D4&lt;31),"")</f>
        <v/>
      </c>
      <c r="AV4" s="489">
        <f>IF(C4&lt;&gt;"",AND(Z4="x",AC4,AD4),"")</f>
        <v/>
      </c>
      <c r="AW4" s="489">
        <f>IF(C4&lt;&gt;"",AND(K4&gt;=9,Z4="x"),"")</f>
        <v/>
      </c>
      <c r="AX4" s="489">
        <f>IF(C4&lt;&gt;"",AND(Z4="x",AI4,E4="Nữ"),"")</f>
        <v/>
      </c>
      <c r="AY4" s="489">
        <f>IF(C4&lt;&gt;"",AND(Z4="x",AF4,AC4),"")</f>
        <v/>
      </c>
      <c r="AZ4" s="489">
        <f>IF(C4&lt;&gt;"",AND(Z4="x",'THỐNG KÊ'!$E$5-'Thông tin HV'!D4&lt;26),"")</f>
        <v/>
      </c>
      <c r="BA4" s="489">
        <f>IF(C4&lt;&gt;"",AND(Z4="x",AI4,E4="Nữ"),"")</f>
        <v/>
      </c>
      <c r="BB4" s="489">
        <f>IF(C4&lt;&gt;"",AND(Z4="x",AI4,AC4),"")</f>
        <v/>
      </c>
      <c r="BC4" s="489">
        <f>IF(C4&lt;&gt;"",AND(Z4="x",'THỐNG KÊ'!$E$5-'Thông tin HV'!D4&gt;=26,'THỐNG KÊ'!$E$5-'Thông tin HV'!D4&lt;=45),"")</f>
        <v/>
      </c>
      <c r="BD4" s="489">
        <f>IF(C4&lt;&gt;"",AND(Z4="x",AL4,E4="Nữ"),"")</f>
        <v/>
      </c>
      <c r="BE4" s="489">
        <f>IF(C4&lt;&gt;"",AND(Z4="x",AL4,AC4),"")</f>
        <v/>
      </c>
      <c r="BF4" s="489">
        <f>IF(C4&lt;&gt;"",AND(Z4="x",'THỐNG KÊ'!$E$5-'Thông tin HV'!D4&gt;45),"")</f>
        <v/>
      </c>
      <c r="BG4" s="489">
        <f>IF(C4&lt;&gt;"",AND(Z4="x",AO4,E4="Nữ"),"")</f>
        <v/>
      </c>
      <c r="BH4" s="489">
        <f>IF(C4&lt;&gt;"",AND(Z4="x",AO4,AC4),"")</f>
        <v/>
      </c>
    </row>
    <row r="5" ht="24" customFormat="1" customHeight="1" s="474">
      <c r="A5" s="475" t="inlineStr">
        <is>
          <t>02</t>
        </is>
      </c>
      <c r="B5" s="475" t="n"/>
      <c r="C5" s="476" t="inlineStr">
        <is>
          <t>A Ngực</t>
        </is>
      </c>
      <c r="D5" s="477" t="n">
        <v>30386</v>
      </c>
      <c r="E5" s="478" t="inlineStr">
        <is>
          <t>Nam</t>
        </is>
      </c>
      <c r="F5" s="479" t="n"/>
      <c r="G5" s="480" t="inlineStr">
        <is>
          <t>Xê Đăng</t>
        </is>
      </c>
      <c r="H5" s="478" t="n"/>
      <c r="I5" s="481">
        <f>IF(AA5="","",IF(AA5&lt;=30,"X",""))</f>
        <v/>
      </c>
      <c r="J5" s="481">
        <f>IF(AND(I5="X",G5&lt;&gt;"Kinh"),"X","")</f>
        <v/>
      </c>
      <c r="K5" s="482" t="n">
        <v>12</v>
      </c>
      <c r="L5" s="483" t="inlineStr">
        <is>
          <t>Người dân tộc thiểu số</t>
        </is>
      </c>
      <c r="M5" s="484">
        <f>VLOOKUP(L5,IDs!$H$3:$I$12,2,0)</f>
        <v/>
      </c>
      <c r="N5" s="485" t="inlineStr">
        <is>
          <t>Thôn ĐăkTrăm, xã Kon Đào, Quảng Ngãi</t>
        </is>
      </c>
      <c r="O5" s="485" t="inlineStr">
        <is>
          <t>Thôn ĐăkTrăm, xã Kon Đào, Quảng Ngãi</t>
        </is>
      </c>
      <c r="P5" s="485" t="inlineStr">
        <is>
          <t>Thôn ĐăkTrăm, xã Kon Đào, Quảng Ngãi</t>
        </is>
      </c>
      <c r="Q5" s="485" t="n"/>
      <c r="R5" s="486" t="n"/>
      <c r="S5" s="486" t="n"/>
      <c r="T5" s="486" t="n"/>
      <c r="U5" s="486" t="n"/>
      <c r="V5" s="486" t="n"/>
      <c r="W5" s="486" t="n"/>
      <c r="X5" s="487">
        <f>IF(D5="","",IF(YEAR(TODAY())-D5&lt;15,"Không đủ tuổi theo học",IF(AND(E5="Nam",YEAR(TODAY())-D5&gt;60),"Quá tuổi theo học",IF(AND(E5="Nữ",YEAR(TODAY())-D5&gt;55),"Quá tuổi theo học","Đảm bảo"))))</f>
        <v/>
      </c>
      <c r="Y5" s="487">
        <f>IF(C5="","",IF(OR(LEFT(C5,1)="Y",LEFT(C5,1)="A"),"",IF(L5&lt;&gt;"Đối tượng lao động nông thôn khác","Cần hồ sơ chứng minh nhóm đối tượng","")))</f>
        <v/>
      </c>
      <c r="Z5" s="488" t="n"/>
      <c r="AA5" s="481">
        <f>IF(OR(D5="",'KHÓA HỌC'!$D$8=""),"",DATEDIF(D5,'KHÓA HỌC'!$D$8,"y"))</f>
        <v/>
      </c>
      <c r="AB5" s="489">
        <f>IF(C5&lt;&gt;"",AND(E5="Nữ",L5="Người dân tộc thiểu số"),"")</f>
        <v/>
      </c>
      <c r="AC5" s="489">
        <f>IF(C5&lt;&gt;"",L5="Người dân tộc thiểu số","")</f>
        <v/>
      </c>
      <c r="AD5" s="490">
        <f>IF(C5&lt;&gt;"",'THỐNG KÊ'!$E$5-'Thông tin HV'!D5&lt;31,"")</f>
        <v/>
      </c>
      <c r="AE5" s="489">
        <f>IF(C5&lt;&gt;"",AND(AC5,AD5),"")</f>
        <v/>
      </c>
      <c r="AF5" s="489">
        <f>IF(C5&lt;&gt;"",(K5&gt;=9),"")</f>
        <v/>
      </c>
      <c r="AG5" s="489">
        <f>IF(C5&lt;&gt;"",AND(AF5,E5="Nữ"),"")</f>
        <v/>
      </c>
      <c r="AH5" s="489">
        <f>IF(C5&lt;&gt;"",AND(AF5,AC5),"")</f>
        <v/>
      </c>
      <c r="AI5" s="489">
        <f>IF(C5&lt;&gt;"",'THỐNG KÊ'!$E$5-'Thông tin HV'!D5&lt;26,"")</f>
        <v/>
      </c>
      <c r="AJ5" s="489">
        <f>IF(C5&lt;&gt;"",AND(AI5,E5="Nữ"),"")</f>
        <v/>
      </c>
      <c r="AK5" s="489">
        <f>IF(C5&lt;&gt;"",AND(AI5,AC5),"")</f>
        <v/>
      </c>
      <c r="AL5" s="489">
        <f>IF(C5&lt;&gt;"",AND('THỐNG KÊ'!$E$5-'Thông tin HV'!D5&gt;=26,'THỐNG KÊ'!$E$5-'Thông tin HV'!D5&lt;=45),"")</f>
        <v/>
      </c>
      <c r="AM5" s="489">
        <f>IF(C5&lt;&gt;"",AND(AL5,E5="Nữ"),"")</f>
        <v/>
      </c>
      <c r="AN5" s="489">
        <f>IF(C5&lt;&gt;"",AND(AL5,AC5),"")</f>
        <v/>
      </c>
      <c r="AO5" s="489">
        <f>IF(C5&lt;&gt;"",'THỐNG KÊ'!$E$5-'Thông tin HV'!D5&gt;45,"")</f>
        <v/>
      </c>
      <c r="AP5" s="489">
        <f>IF(C5&lt;&gt;"",AND(AO5,E5="Nữ"),"")</f>
        <v/>
      </c>
      <c r="AQ5" s="489">
        <f>IF(C5&lt;&gt;"",AND(AO5,AC5),"")</f>
        <v/>
      </c>
      <c r="AR5" s="489">
        <f>IF(C5&lt;&gt;"",AND(Z5="x",E5="Nữ"),"")</f>
        <v/>
      </c>
      <c r="AS5" s="489">
        <f>IF(C5&lt;&gt;"",AND(Z5="x",E5="Nữ",L5="Người dân tộc thiểu số"),"")</f>
        <v/>
      </c>
      <c r="AT5" s="489">
        <f>IF(C5&lt;&gt;"",AND(Z5="x",L5="Người dân tộc thiểu số"),"")</f>
        <v/>
      </c>
      <c r="AU5" s="490">
        <f>IF(C5&lt;&gt;"",AND(Z5="x",'THỐNG KÊ'!$E$5-'Thông tin HV'!D5&lt;31),"")</f>
        <v/>
      </c>
      <c r="AV5" s="489">
        <f>IF(C5&lt;&gt;"",AND(Z5="x",AC5,AD5),"")</f>
        <v/>
      </c>
      <c r="AW5" s="489">
        <f>IF(C5&lt;&gt;"",AND(K5&gt;=9,Z5="x"),"")</f>
        <v/>
      </c>
      <c r="AX5" s="489">
        <f>IF(C5&lt;&gt;"",AND(Z5="x",AI5,E5="Nữ"),"")</f>
        <v/>
      </c>
      <c r="AY5" s="489">
        <f>IF(C5&lt;&gt;"",AND(Z5="x",AF5,AC5),"")</f>
        <v/>
      </c>
      <c r="AZ5" s="489">
        <f>IF(C5&lt;&gt;"",AND(Z5="x",'THỐNG KÊ'!$E$5-'Thông tin HV'!D5&lt;26),"")</f>
        <v/>
      </c>
      <c r="BA5" s="489">
        <f>IF(C5&lt;&gt;"",AND(Z5="x",AI5,E5="Nữ"),"")</f>
        <v/>
      </c>
      <c r="BB5" s="489">
        <f>IF(C5&lt;&gt;"",AND(Z5="x",AI5,AC5),"")</f>
        <v/>
      </c>
      <c r="BC5" s="489">
        <f>IF(C5&lt;&gt;"",AND(Z5="x",'THỐNG KÊ'!$E$5-'Thông tin HV'!D5&gt;=26,'THỐNG KÊ'!$E$5-'Thông tin HV'!D5&lt;=45),"")</f>
        <v/>
      </c>
      <c r="BD5" s="489">
        <f>IF(C5&lt;&gt;"",AND(Z5="x",AL5,E5="Nữ"),"")</f>
        <v/>
      </c>
      <c r="BE5" s="489">
        <f>IF(C5&lt;&gt;"",AND(Z5="x",AL5,AC5),"")</f>
        <v/>
      </c>
      <c r="BF5" s="489">
        <f>IF(C5&lt;&gt;"",AND(Z5="x",'THỐNG KÊ'!$E$5-'Thông tin HV'!D5&gt;45),"")</f>
        <v/>
      </c>
      <c r="BG5" s="489">
        <f>IF(C5&lt;&gt;"",AND(Z5="x",AO5,E5="Nữ"),"")</f>
        <v/>
      </c>
      <c r="BH5" s="489">
        <f>IF(C5&lt;&gt;"",AND(Z5="x",AO5,AC5),"")</f>
        <v/>
      </c>
    </row>
    <row r="6" ht="24" customFormat="1" customHeight="1" s="474">
      <c r="A6" s="475" t="inlineStr">
        <is>
          <t>03</t>
        </is>
      </c>
      <c r="B6" s="475" t="n"/>
      <c r="C6" s="476" t="inlineStr">
        <is>
          <t>A Bét</t>
        </is>
      </c>
      <c r="D6" s="477" t="n">
        <v>30386</v>
      </c>
      <c r="E6" s="478" t="inlineStr">
        <is>
          <t>Nam</t>
        </is>
      </c>
      <c r="F6" s="479" t="n"/>
      <c r="G6" s="480" t="inlineStr">
        <is>
          <t>Xê Đăng</t>
        </is>
      </c>
      <c r="H6" s="478" t="n"/>
      <c r="I6" s="481">
        <f>IF(AA6="","",IF(AA6&lt;=30,"X",""))</f>
        <v/>
      </c>
      <c r="J6" s="481">
        <f>IF(AND(I6="X",G6&lt;&gt;"Kinh"),"X","")</f>
        <v/>
      </c>
      <c r="K6" s="482" t="n">
        <v>10</v>
      </c>
      <c r="L6" s="483" t="inlineStr">
        <is>
          <t>Người dân tộc thiểu số</t>
        </is>
      </c>
      <c r="M6" s="484">
        <f>VLOOKUP(L6,IDs!$H$3:$I$12,2,0)</f>
        <v/>
      </c>
      <c r="N6" s="485" t="inlineStr">
        <is>
          <t>Thôn ĐăkTrăm, xã Kon Đào, Quảng Ngãi</t>
        </is>
      </c>
      <c r="O6" s="485" t="inlineStr">
        <is>
          <t>Thôn ĐăkTrăm, xã Kon Đào, Quảng Ngãi</t>
        </is>
      </c>
      <c r="P6" s="485" t="inlineStr">
        <is>
          <t>Thôn ĐăkTrăm, xã Kon Đào, Quảng Ngãi</t>
        </is>
      </c>
      <c r="Q6" s="485" t="n"/>
      <c r="R6" s="486" t="n"/>
      <c r="S6" s="486" t="n"/>
      <c r="T6" s="486" t="n"/>
      <c r="U6" s="486" t="n"/>
      <c r="V6" s="486" t="n"/>
      <c r="W6" s="486" t="n"/>
      <c r="X6" s="487">
        <f>IF(D6="","",IF(YEAR(TODAY())-D6&lt;15,"Không đủ tuổi theo học",IF(AND(E6="Nam",YEAR(TODAY())-D6&gt;60),"Quá tuổi theo học",IF(AND(E6="Nữ",YEAR(TODAY())-D6&gt;55),"Quá tuổi theo học","Đảm bảo"))))</f>
        <v/>
      </c>
      <c r="Y6" s="487">
        <f>IF(C6="","",IF(OR(LEFT(C6,1)="Y",LEFT(C6,1)="A"),"",IF(L6&lt;&gt;"Đối tượng lao động nông thôn khác","Cần hồ sơ chứng minh nhóm đối tượng","")))</f>
        <v/>
      </c>
      <c r="Z6" s="488" t="n"/>
      <c r="AA6" s="481">
        <f>IF(OR(D6="",'KHÓA HỌC'!$D$8=""),"",DATEDIF(D6,'KHÓA HỌC'!$D$8,"y"))</f>
        <v/>
      </c>
      <c r="AB6" s="489">
        <f>IF(C6&lt;&gt;"",AND(E6="Nữ",L6="Người dân tộc thiểu số"),"")</f>
        <v/>
      </c>
      <c r="AC6" s="489">
        <f>IF(C6&lt;&gt;"",L6="Người dân tộc thiểu số","")</f>
        <v/>
      </c>
      <c r="AD6" s="490">
        <f>IF(C6&lt;&gt;"",'THỐNG KÊ'!$E$5-'Thông tin HV'!D6&lt;31,"")</f>
        <v/>
      </c>
      <c r="AE6" s="489">
        <f>IF(C6&lt;&gt;"",AND(AC6,AD6),"")</f>
        <v/>
      </c>
      <c r="AF6" s="489">
        <f>IF(C6&lt;&gt;"",(K6&gt;=9),"")</f>
        <v/>
      </c>
      <c r="AG6" s="489">
        <f>IF(C6&lt;&gt;"",AND(AF6,E6="Nữ"),"")</f>
        <v/>
      </c>
      <c r="AH6" s="489">
        <f>IF(C6&lt;&gt;"",AND(AF6,AC6),"")</f>
        <v/>
      </c>
      <c r="AI6" s="489">
        <f>IF(C6&lt;&gt;"",'THỐNG KÊ'!$E$5-'Thông tin HV'!D6&lt;26,"")</f>
        <v/>
      </c>
      <c r="AJ6" s="489">
        <f>IF(C6&lt;&gt;"",AND(AI6,E6="Nữ"),"")</f>
        <v/>
      </c>
      <c r="AK6" s="489">
        <f>IF(C6&lt;&gt;"",AND(AI6,AC6),"")</f>
        <v/>
      </c>
      <c r="AL6" s="489">
        <f>IF(C6&lt;&gt;"",AND('THỐNG KÊ'!$E$5-'Thông tin HV'!D6&gt;=26,'THỐNG KÊ'!$E$5-'Thông tin HV'!D6&lt;=45),"")</f>
        <v/>
      </c>
      <c r="AM6" s="489">
        <f>IF(C6&lt;&gt;"",AND(AL6,E6="Nữ"),"")</f>
        <v/>
      </c>
      <c r="AN6" s="489">
        <f>IF(C6&lt;&gt;"",AND(AL6,AC6),"")</f>
        <v/>
      </c>
      <c r="AO6" s="489">
        <f>IF(C6&lt;&gt;"",'THỐNG KÊ'!$E$5-'Thông tin HV'!D6&gt;45,"")</f>
        <v/>
      </c>
      <c r="AP6" s="489">
        <f>IF(C6&lt;&gt;"",AND(AO6,E6="Nữ"),"")</f>
        <v/>
      </c>
      <c r="AQ6" s="489">
        <f>IF(C6&lt;&gt;"",AND(AO6,AC6),"")</f>
        <v/>
      </c>
      <c r="AR6" s="489">
        <f>IF(C6&lt;&gt;"",AND(Z6="x",E6="Nữ"),"")</f>
        <v/>
      </c>
      <c r="AS6" s="489">
        <f>IF(C6&lt;&gt;"",AND(Z6="x",E6="Nữ",L6="Người dân tộc thiểu số"),"")</f>
        <v/>
      </c>
      <c r="AT6" s="489">
        <f>IF(C6&lt;&gt;"",AND(Z6="x",L6="Người dân tộc thiểu số"),"")</f>
        <v/>
      </c>
      <c r="AU6" s="490">
        <f>IF(C6&lt;&gt;"",AND(Z6="x",'THỐNG KÊ'!$E$5-'Thông tin HV'!D6&lt;31),"")</f>
        <v/>
      </c>
      <c r="AV6" s="489">
        <f>IF(C6&lt;&gt;"",AND(Z6="x",AC6,AD6),"")</f>
        <v/>
      </c>
      <c r="AW6" s="489">
        <f>IF(C6&lt;&gt;"",AND(K6&gt;=9,Z6="x"),"")</f>
        <v/>
      </c>
      <c r="AX6" s="489">
        <f>IF(C6&lt;&gt;"",AND(Z6="x",AI6,E6="Nữ"),"")</f>
        <v/>
      </c>
      <c r="AY6" s="489">
        <f>IF(C6&lt;&gt;"",AND(Z6="x",AF6,AC6),"")</f>
        <v/>
      </c>
      <c r="AZ6" s="489">
        <f>IF(C6&lt;&gt;"",AND(Z6="x",'THỐNG KÊ'!$E$5-'Thông tin HV'!D6&lt;26),"")</f>
        <v/>
      </c>
      <c r="BA6" s="489">
        <f>IF(C6&lt;&gt;"",AND(Z6="x",AI6,E6="Nữ"),"")</f>
        <v/>
      </c>
      <c r="BB6" s="489">
        <f>IF(C6&lt;&gt;"",AND(Z6="x",AI6,AC6),"")</f>
        <v/>
      </c>
      <c r="BC6" s="489">
        <f>IF(C6&lt;&gt;"",AND(Z6="x",'THỐNG KÊ'!$E$5-'Thông tin HV'!D6&gt;=26,'THỐNG KÊ'!$E$5-'Thông tin HV'!D6&lt;=45),"")</f>
        <v/>
      </c>
      <c r="BD6" s="489">
        <f>IF(C6&lt;&gt;"",AND(Z6="x",AL6,E6="Nữ"),"")</f>
        <v/>
      </c>
      <c r="BE6" s="489">
        <f>IF(C6&lt;&gt;"",AND(Z6="x",AL6,AC6),"")</f>
        <v/>
      </c>
      <c r="BF6" s="489">
        <f>IF(C6&lt;&gt;"",AND(Z6="x",'THỐNG KÊ'!$E$5-'Thông tin HV'!D6&gt;45),"")</f>
        <v/>
      </c>
      <c r="BG6" s="489">
        <f>IF(C6&lt;&gt;"",AND(Z6="x",AO6,E6="Nữ"),"")</f>
        <v/>
      </c>
      <c r="BH6" s="489">
        <f>IF(C6&lt;&gt;"",AND(Z6="x",AO6,AC6),"")</f>
        <v/>
      </c>
    </row>
    <row r="7" ht="24" customFormat="1" customHeight="1" s="474">
      <c r="A7" s="475" t="inlineStr">
        <is>
          <t>04</t>
        </is>
      </c>
      <c r="B7" s="475" t="n"/>
      <c r="C7" s="476" t="inlineStr">
        <is>
          <t>A Quyết</t>
        </is>
      </c>
      <c r="D7" s="477" t="n">
        <v>30386</v>
      </c>
      <c r="E7" s="478" t="inlineStr">
        <is>
          <t>Nam</t>
        </is>
      </c>
      <c r="F7" s="479" t="n"/>
      <c r="G7" s="480" t="inlineStr">
        <is>
          <t>Xê Đăng</t>
        </is>
      </c>
      <c r="H7" s="478" t="n"/>
      <c r="I7" s="481">
        <f>IF(AA7="","",IF(AA7&lt;=30,"X",""))</f>
        <v/>
      </c>
      <c r="J7" s="481">
        <f>IF(AND(I7="X",G7&lt;&gt;"Kinh"),"X","")</f>
        <v/>
      </c>
      <c r="K7" s="482" t="n">
        <v>9</v>
      </c>
      <c r="L7" s="483" t="inlineStr">
        <is>
          <t>Người dân tộc thiểu số</t>
        </is>
      </c>
      <c r="M7" s="484">
        <f>VLOOKUP(L7,IDs!$H$3:$I$12,2,0)</f>
        <v/>
      </c>
      <c r="N7" s="485" t="inlineStr">
        <is>
          <t>Thôn ĐăkTrăm, xã Kon Đào, Quảng Ngãi</t>
        </is>
      </c>
      <c r="O7" s="485" t="inlineStr">
        <is>
          <t>Thôn ĐăkTrăm, xã Kon Đào, Quảng Ngãi</t>
        </is>
      </c>
      <c r="P7" s="485" t="inlineStr">
        <is>
          <t>Thôn ĐăkTrăm, xã Kon Đào, Quảng Ngãi</t>
        </is>
      </c>
      <c r="Q7" s="485" t="n"/>
      <c r="R7" s="486" t="n"/>
      <c r="S7" s="486" t="n"/>
      <c r="T7" s="486" t="n"/>
      <c r="U7" s="486" t="n"/>
      <c r="V7" s="486" t="n"/>
      <c r="W7" s="486" t="n"/>
      <c r="X7" s="487">
        <f>IF(D7="","",IF(YEAR(TODAY())-D7&lt;15,"Không đủ tuổi theo học",IF(AND(E7="Nam",YEAR(TODAY())-D7&gt;60),"Quá tuổi theo học",IF(AND(E7="Nữ",YEAR(TODAY())-D7&gt;55),"Quá tuổi theo học","Đảm bảo"))))</f>
        <v/>
      </c>
      <c r="Y7" s="487">
        <f>IF(C7="","",IF(OR(LEFT(C7,1)="Y",LEFT(C7,1)="A"),"",IF(L7&lt;&gt;"Đối tượng lao động nông thôn khác","Cần hồ sơ chứng minh nhóm đối tượng","")))</f>
        <v/>
      </c>
      <c r="Z7" s="488" t="n"/>
      <c r="AA7" s="481">
        <f>IF(OR(D7="",'KHÓA HỌC'!$D$8=""),"",DATEDIF(D7,'KHÓA HỌC'!$D$8,"y"))</f>
        <v/>
      </c>
      <c r="AB7" s="489">
        <f>IF(C7&lt;&gt;"",AND(E7="Nữ",L7="Người dân tộc thiểu số"),"")</f>
        <v/>
      </c>
      <c r="AC7" s="489">
        <f>IF(C7&lt;&gt;"",L7="Người dân tộc thiểu số","")</f>
        <v/>
      </c>
      <c r="AD7" s="490">
        <f>IF(C7&lt;&gt;"",'THỐNG KÊ'!$E$5-'Thông tin HV'!D7&lt;31,"")</f>
        <v/>
      </c>
      <c r="AE7" s="489">
        <f>IF(C7&lt;&gt;"",AND(AC7,AD7),"")</f>
        <v/>
      </c>
      <c r="AF7" s="489">
        <f>IF(C7&lt;&gt;"",(K7&gt;=9),"")</f>
        <v/>
      </c>
      <c r="AG7" s="489">
        <f>IF(C7&lt;&gt;"",AND(AF7,E7="Nữ"),"")</f>
        <v/>
      </c>
      <c r="AH7" s="489">
        <f>IF(C7&lt;&gt;"",AND(AF7,AC7),"")</f>
        <v/>
      </c>
      <c r="AI7" s="489">
        <f>IF(C7&lt;&gt;"",'THỐNG KÊ'!$E$5-'Thông tin HV'!D7&lt;26,"")</f>
        <v/>
      </c>
      <c r="AJ7" s="489">
        <f>IF(C7&lt;&gt;"",AND(AI7,E7="Nữ"),"")</f>
        <v/>
      </c>
      <c r="AK7" s="489">
        <f>IF(C7&lt;&gt;"",AND(AI7,AC7),"")</f>
        <v/>
      </c>
      <c r="AL7" s="489">
        <f>IF(C7&lt;&gt;"",AND('THỐNG KÊ'!$E$5-'Thông tin HV'!D7&gt;=26,'THỐNG KÊ'!$E$5-'Thông tin HV'!D7&lt;=45),"")</f>
        <v/>
      </c>
      <c r="AM7" s="489">
        <f>IF(C7&lt;&gt;"",AND(AL7,E7="Nữ"),"")</f>
        <v/>
      </c>
      <c r="AN7" s="489">
        <f>IF(C7&lt;&gt;"",AND(AL7,AC7),"")</f>
        <v/>
      </c>
      <c r="AO7" s="489">
        <f>IF(C7&lt;&gt;"",'THỐNG KÊ'!$E$5-'Thông tin HV'!D7&gt;45,"")</f>
        <v/>
      </c>
      <c r="AP7" s="489">
        <f>IF(C7&lt;&gt;"",AND(AO7,E7="Nữ"),"")</f>
        <v/>
      </c>
      <c r="AQ7" s="489">
        <f>IF(C7&lt;&gt;"",AND(AO7,AC7),"")</f>
        <v/>
      </c>
      <c r="AR7" s="489">
        <f>IF(C7&lt;&gt;"",AND(Z7="x",E7="Nữ"),"")</f>
        <v/>
      </c>
      <c r="AS7" s="489">
        <f>IF(C7&lt;&gt;"",AND(Z7="x",E7="Nữ",L7="Người dân tộc thiểu số"),"")</f>
        <v/>
      </c>
      <c r="AT7" s="489">
        <f>IF(C7&lt;&gt;"",AND(Z7="x",L7="Người dân tộc thiểu số"),"")</f>
        <v/>
      </c>
      <c r="AU7" s="490">
        <f>IF(C7&lt;&gt;"",AND(Z7="x",'THỐNG KÊ'!$E$5-'Thông tin HV'!D7&lt;31),"")</f>
        <v/>
      </c>
      <c r="AV7" s="489">
        <f>IF(C7&lt;&gt;"",AND(Z7="x",AC7,AD7),"")</f>
        <v/>
      </c>
      <c r="AW7" s="489">
        <f>IF(C7&lt;&gt;"",AND(K7&gt;=9,Z7="x"),"")</f>
        <v/>
      </c>
      <c r="AX7" s="489">
        <f>IF(C7&lt;&gt;"",AND(Z7="x",AI7,E7="Nữ"),"")</f>
        <v/>
      </c>
      <c r="AY7" s="489">
        <f>IF(C7&lt;&gt;"",AND(Z7="x",AF7,AC7),"")</f>
        <v/>
      </c>
      <c r="AZ7" s="489">
        <f>IF(C7&lt;&gt;"",AND(Z7="x",'THỐNG KÊ'!$E$5-'Thông tin HV'!D7&lt;26),"")</f>
        <v/>
      </c>
      <c r="BA7" s="489">
        <f>IF(C7&lt;&gt;"",AND(Z7="x",AI7,E7="Nữ"),"")</f>
        <v/>
      </c>
      <c r="BB7" s="489">
        <f>IF(C7&lt;&gt;"",AND(Z7="x",AI7,AC7),"")</f>
        <v/>
      </c>
      <c r="BC7" s="489">
        <f>IF(C7&lt;&gt;"",AND(Z7="x",'THỐNG KÊ'!$E$5-'Thông tin HV'!D7&gt;=26,'THỐNG KÊ'!$E$5-'Thông tin HV'!D7&lt;=45),"")</f>
        <v/>
      </c>
      <c r="BD7" s="489">
        <f>IF(C7&lt;&gt;"",AND(Z7="x",AL7,E7="Nữ"),"")</f>
        <v/>
      </c>
      <c r="BE7" s="489">
        <f>IF(C7&lt;&gt;"",AND(Z7="x",AL7,AC7),"")</f>
        <v/>
      </c>
      <c r="BF7" s="489">
        <f>IF(C7&lt;&gt;"",AND(Z7="x",'THỐNG KÊ'!$E$5-'Thông tin HV'!D7&gt;45),"")</f>
        <v/>
      </c>
      <c r="BG7" s="489">
        <f>IF(C7&lt;&gt;"",AND(Z7="x",AO7,E7="Nữ"),"")</f>
        <v/>
      </c>
      <c r="BH7" s="489">
        <f>IF(C7&lt;&gt;"",AND(Z7="x",AO7,AC7),"")</f>
        <v/>
      </c>
    </row>
    <row r="8" ht="24" customFormat="1" customHeight="1" s="474">
      <c r="A8" s="475" t="inlineStr">
        <is>
          <t>05</t>
        </is>
      </c>
      <c r="B8" s="475" t="n"/>
      <c r="C8" s="476" t="inlineStr">
        <is>
          <t>A Phan</t>
        </is>
      </c>
      <c r="D8" s="477" t="n">
        <v>30386</v>
      </c>
      <c r="E8" s="478" t="inlineStr">
        <is>
          <t>Nam</t>
        </is>
      </c>
      <c r="F8" s="479" t="n"/>
      <c r="G8" s="480" t="inlineStr">
        <is>
          <t>Xê Đăng</t>
        </is>
      </c>
      <c r="H8" s="478" t="n"/>
      <c r="I8" s="481">
        <f>IF(AA8="","",IF(AA8&lt;=30,"X",""))</f>
        <v/>
      </c>
      <c r="J8" s="481">
        <f>IF(AND(I8="X",G8&lt;&gt;"Kinh"),"X","")</f>
        <v/>
      </c>
      <c r="K8" s="482" t="n">
        <v>8</v>
      </c>
      <c r="L8" s="483" t="inlineStr">
        <is>
          <t>Người dân tộc thiểu số</t>
        </is>
      </c>
      <c r="M8" s="484">
        <f>VLOOKUP(L8,IDs!$H$3:$I$12,2,0)</f>
        <v/>
      </c>
      <c r="N8" s="485" t="inlineStr">
        <is>
          <t>Thôn ĐăkTrăm, xã Kon Đào, Quảng Ngãi</t>
        </is>
      </c>
      <c r="O8" s="485" t="inlineStr">
        <is>
          <t>Thôn ĐăkTrăm, xã Kon Đào, Quảng Ngãi</t>
        </is>
      </c>
      <c r="P8" s="485" t="inlineStr">
        <is>
          <t>Thôn ĐăkTrăm, xã Kon Đào, Quảng Ngãi</t>
        </is>
      </c>
      <c r="Q8" s="485" t="n"/>
      <c r="R8" s="486" t="n"/>
      <c r="S8" s="486" t="n"/>
      <c r="T8" s="486" t="n"/>
      <c r="U8" s="486" t="n"/>
      <c r="V8" s="486" t="n"/>
      <c r="W8" s="486" t="n"/>
      <c r="X8" s="487">
        <f>IF(D8="","",IF(YEAR(TODAY())-D8&lt;15,"Không đủ tuổi theo học",IF(AND(E8="Nam",YEAR(TODAY())-D8&gt;60),"Quá tuổi theo học",IF(AND(E8="Nữ",YEAR(TODAY())-D8&gt;55),"Quá tuổi theo học","Đảm bảo"))))</f>
        <v/>
      </c>
      <c r="Y8" s="487">
        <f>IF(C8="","",IF(OR(LEFT(C8,1)="Y",LEFT(C8,1)="A"),"",IF(L8&lt;&gt;"Đối tượng lao động nông thôn khác","Cần hồ sơ chứng minh nhóm đối tượng","")))</f>
        <v/>
      </c>
      <c r="Z8" s="488" t="n"/>
      <c r="AA8" s="481">
        <f>IF(OR(D8="",'KHÓA HỌC'!$D$8=""),"",DATEDIF(D8,'KHÓA HỌC'!$D$8,"y"))</f>
        <v/>
      </c>
      <c r="AB8" s="489">
        <f>IF(C8&lt;&gt;"",AND(E8="Nữ",L8="Người dân tộc thiểu số"),"")</f>
        <v/>
      </c>
      <c r="AC8" s="489">
        <f>IF(C8&lt;&gt;"",L8="Người dân tộc thiểu số","")</f>
        <v/>
      </c>
      <c r="AD8" s="490">
        <f>IF(C8&lt;&gt;"",'THỐNG KÊ'!$E$5-'Thông tin HV'!D8&lt;31,"")</f>
        <v/>
      </c>
      <c r="AE8" s="489">
        <f>IF(C8&lt;&gt;"",AND(AC8,AD8),"")</f>
        <v/>
      </c>
      <c r="AF8" s="489">
        <f>IF(C8&lt;&gt;"",(K8&gt;=9),"")</f>
        <v/>
      </c>
      <c r="AG8" s="489">
        <f>IF(C8&lt;&gt;"",AND(AF8,E8="Nữ"),"")</f>
        <v/>
      </c>
      <c r="AH8" s="489">
        <f>IF(C8&lt;&gt;"",AND(AF8,AC8),"")</f>
        <v/>
      </c>
      <c r="AI8" s="489">
        <f>IF(C8&lt;&gt;"",'THỐNG KÊ'!$E$5-'Thông tin HV'!D8&lt;26,"")</f>
        <v/>
      </c>
      <c r="AJ8" s="489">
        <f>IF(C8&lt;&gt;"",AND(AI8,E8="Nữ"),"")</f>
        <v/>
      </c>
      <c r="AK8" s="489">
        <f>IF(C8&lt;&gt;"",AND(AI8,AC8),"")</f>
        <v/>
      </c>
      <c r="AL8" s="489">
        <f>IF(C8&lt;&gt;"",AND('THỐNG KÊ'!$E$5-'Thông tin HV'!D8&gt;=26,'THỐNG KÊ'!$E$5-'Thông tin HV'!D8&lt;=45),"")</f>
        <v/>
      </c>
      <c r="AM8" s="489">
        <f>IF(C8&lt;&gt;"",AND(AL8,E8="Nữ"),"")</f>
        <v/>
      </c>
      <c r="AN8" s="489">
        <f>IF(C8&lt;&gt;"",AND(AL8,AC8),"")</f>
        <v/>
      </c>
      <c r="AO8" s="489">
        <f>IF(C8&lt;&gt;"",'THỐNG KÊ'!$E$5-'Thông tin HV'!D8&gt;45,"")</f>
        <v/>
      </c>
      <c r="AP8" s="489">
        <f>IF(C8&lt;&gt;"",AND(AO8,E8="Nữ"),"")</f>
        <v/>
      </c>
      <c r="AQ8" s="489">
        <f>IF(C8&lt;&gt;"",AND(AO8,AC8),"")</f>
        <v/>
      </c>
      <c r="AR8" s="489">
        <f>IF(C8&lt;&gt;"",AND(Z8="x",E8="Nữ"),"")</f>
        <v/>
      </c>
      <c r="AS8" s="489">
        <f>IF(C8&lt;&gt;"",AND(Z8="x",E8="Nữ",L8="Người dân tộc thiểu số"),"")</f>
        <v/>
      </c>
      <c r="AT8" s="489">
        <f>IF(C8&lt;&gt;"",AND(Z8="x",L8="Người dân tộc thiểu số"),"")</f>
        <v/>
      </c>
      <c r="AU8" s="490">
        <f>IF(C8&lt;&gt;"",AND(Z8="x",'THỐNG KÊ'!$E$5-'Thông tin HV'!D8&lt;31),"")</f>
        <v/>
      </c>
      <c r="AV8" s="489">
        <f>IF(C8&lt;&gt;"",AND(Z8="x",AC8,AD8),"")</f>
        <v/>
      </c>
      <c r="AW8" s="489">
        <f>IF(C8&lt;&gt;"",AND(K8&gt;=9,Z8="x"),"")</f>
        <v/>
      </c>
      <c r="AX8" s="489">
        <f>IF(C8&lt;&gt;"",AND(Z8="x",AI8,E8="Nữ"),"")</f>
        <v/>
      </c>
      <c r="AY8" s="489">
        <f>IF(C8&lt;&gt;"",AND(Z8="x",AF8,AC8),"")</f>
        <v/>
      </c>
      <c r="AZ8" s="489">
        <f>IF(C8&lt;&gt;"",AND(Z8="x",'THỐNG KÊ'!$E$5-'Thông tin HV'!D8&lt;26),"")</f>
        <v/>
      </c>
      <c r="BA8" s="489">
        <f>IF(C8&lt;&gt;"",AND(Z8="x",AI8,E8="Nữ"),"")</f>
        <v/>
      </c>
      <c r="BB8" s="489">
        <f>IF(C8&lt;&gt;"",AND(Z8="x",AI8,AC8),"")</f>
        <v/>
      </c>
      <c r="BC8" s="489">
        <f>IF(C8&lt;&gt;"",AND(Z8="x",'THỐNG KÊ'!$E$5-'Thông tin HV'!D8&gt;=26,'THỐNG KÊ'!$E$5-'Thông tin HV'!D8&lt;=45),"")</f>
        <v/>
      </c>
      <c r="BD8" s="489">
        <f>IF(C8&lt;&gt;"",AND(Z8="x",AL8,E8="Nữ"),"")</f>
        <v/>
      </c>
      <c r="BE8" s="489">
        <f>IF(C8&lt;&gt;"",AND(Z8="x",AL8,AC8),"")</f>
        <v/>
      </c>
      <c r="BF8" s="489">
        <f>IF(C8&lt;&gt;"",AND(Z8="x",'THỐNG KÊ'!$E$5-'Thông tin HV'!D8&gt;45),"")</f>
        <v/>
      </c>
      <c r="BG8" s="489">
        <f>IF(C8&lt;&gt;"",AND(Z8="x",AO8,E8="Nữ"),"")</f>
        <v/>
      </c>
      <c r="BH8" s="489">
        <f>IF(C8&lt;&gt;"",AND(Z8="x",AO8,AC8),"")</f>
        <v/>
      </c>
    </row>
    <row r="9" ht="24" customFormat="1" customHeight="1" s="474">
      <c r="A9" s="475" t="inlineStr">
        <is>
          <t>06</t>
        </is>
      </c>
      <c r="B9" s="475" t="n"/>
      <c r="C9" s="476" t="inlineStr">
        <is>
          <t>A Ká</t>
        </is>
      </c>
      <c r="D9" s="477" t="n">
        <v>30386</v>
      </c>
      <c r="E9" s="478" t="inlineStr">
        <is>
          <t>Nam</t>
        </is>
      </c>
      <c r="F9" s="479" t="n"/>
      <c r="G9" s="480" t="inlineStr">
        <is>
          <t>Xê Đăng</t>
        </is>
      </c>
      <c r="H9" s="478" t="n"/>
      <c r="I9" s="481">
        <f>IF(AA9="","",IF(AA9&lt;=30,"X",""))</f>
        <v/>
      </c>
      <c r="J9" s="481">
        <f>IF(AND(I9="X",G9&lt;&gt;"Kinh"),"X","")</f>
        <v/>
      </c>
      <c r="K9" s="482" t="n">
        <v>8</v>
      </c>
      <c r="L9" s="483" t="inlineStr">
        <is>
          <t>Người dân tộc thiểu số</t>
        </is>
      </c>
      <c r="M9" s="484">
        <f>VLOOKUP(L9,IDs!$H$3:$I$12,2,0)</f>
        <v/>
      </c>
      <c r="N9" s="485" t="inlineStr">
        <is>
          <t>Thôn ĐăkTrăm, xã Kon Đào, Quảng Ngãi</t>
        </is>
      </c>
      <c r="O9" s="485" t="inlineStr">
        <is>
          <t>Thôn ĐăkTrăm, xã Kon Đào, Quảng Ngãi</t>
        </is>
      </c>
      <c r="P9" s="485" t="inlineStr">
        <is>
          <t>Thôn ĐăkTrăm, xã Kon Đào, Quảng Ngãi</t>
        </is>
      </c>
      <c r="Q9" s="485" t="n"/>
      <c r="R9" s="486" t="n"/>
      <c r="S9" s="486" t="n"/>
      <c r="T9" s="486" t="n"/>
      <c r="U9" s="486" t="n"/>
      <c r="V9" s="486" t="n"/>
      <c r="W9" s="486" t="n"/>
      <c r="X9" s="487">
        <f>IF(D9="","",IF(YEAR(TODAY())-D9&lt;15,"Không đủ tuổi theo học",IF(AND(E9="Nam",YEAR(TODAY())-D9&gt;60),"Quá tuổi theo học",IF(AND(E9="Nữ",YEAR(TODAY())-D9&gt;55),"Quá tuổi theo học","Đảm bảo"))))</f>
        <v/>
      </c>
      <c r="Y9" s="487">
        <f>IF(C9="","",IF(OR(LEFT(C9,1)="Y",LEFT(C9,1)="A"),"",IF(L9&lt;&gt;"Đối tượng lao động nông thôn khác","Cần hồ sơ chứng minh nhóm đối tượng","")))</f>
        <v/>
      </c>
      <c r="Z9" s="488" t="n"/>
      <c r="AA9" s="481">
        <f>IF(OR(D9="",'KHÓA HỌC'!$D$8=""),"",DATEDIF(D9,'KHÓA HỌC'!$D$8,"y"))</f>
        <v/>
      </c>
      <c r="AB9" s="489">
        <f>IF(C9&lt;&gt;"",AND(E9="Nữ",L9="Người dân tộc thiểu số"),"")</f>
        <v/>
      </c>
      <c r="AC9" s="489">
        <f>IF(C9&lt;&gt;"",L9="Người dân tộc thiểu số","")</f>
        <v/>
      </c>
      <c r="AD9" s="490">
        <f>IF(C9&lt;&gt;"",'THỐNG KÊ'!$E$5-'Thông tin HV'!D9&lt;31,"")</f>
        <v/>
      </c>
      <c r="AE9" s="489">
        <f>IF(C9&lt;&gt;"",AND(AC9,AD9),"")</f>
        <v/>
      </c>
      <c r="AF9" s="489">
        <f>IF(C9&lt;&gt;"",(K9&gt;=9),"")</f>
        <v/>
      </c>
      <c r="AG9" s="489">
        <f>IF(C9&lt;&gt;"",AND(AF9,E9="Nữ"),"")</f>
        <v/>
      </c>
      <c r="AH9" s="489">
        <f>IF(C9&lt;&gt;"",AND(AF9,AC9),"")</f>
        <v/>
      </c>
      <c r="AI9" s="489">
        <f>IF(C9&lt;&gt;"",'THỐNG KÊ'!$E$5-'Thông tin HV'!D9&lt;26,"")</f>
        <v/>
      </c>
      <c r="AJ9" s="489">
        <f>IF(C9&lt;&gt;"",AND(AI9,E9="Nữ"),"")</f>
        <v/>
      </c>
      <c r="AK9" s="489">
        <f>IF(C9&lt;&gt;"",AND(AI9,AC9),"")</f>
        <v/>
      </c>
      <c r="AL9" s="489">
        <f>IF(C9&lt;&gt;"",AND('THỐNG KÊ'!$E$5-'Thông tin HV'!D9&gt;=26,'THỐNG KÊ'!$E$5-'Thông tin HV'!D9&lt;=45),"")</f>
        <v/>
      </c>
      <c r="AM9" s="489">
        <f>IF(C9&lt;&gt;"",AND(AL9,E9="Nữ"),"")</f>
        <v/>
      </c>
      <c r="AN9" s="489">
        <f>IF(C9&lt;&gt;"",AND(AL9,AC9),"")</f>
        <v/>
      </c>
      <c r="AO9" s="489">
        <f>IF(C9&lt;&gt;"",'THỐNG KÊ'!$E$5-'Thông tin HV'!D9&gt;45,"")</f>
        <v/>
      </c>
      <c r="AP9" s="489">
        <f>IF(C9&lt;&gt;"",AND(AO9,E9="Nữ"),"")</f>
        <v/>
      </c>
      <c r="AQ9" s="489">
        <f>IF(C9&lt;&gt;"",AND(AO9,AC9),"")</f>
        <v/>
      </c>
      <c r="AR9" s="489">
        <f>IF(C9&lt;&gt;"",AND(Z9="x",E9="Nữ"),"")</f>
        <v/>
      </c>
      <c r="AS9" s="489">
        <f>IF(C9&lt;&gt;"",AND(Z9="x",E9="Nữ",L9="Người dân tộc thiểu số"),"")</f>
        <v/>
      </c>
      <c r="AT9" s="489">
        <f>IF(C9&lt;&gt;"",AND(Z9="x",L9="Người dân tộc thiểu số"),"")</f>
        <v/>
      </c>
      <c r="AU9" s="490">
        <f>IF(C9&lt;&gt;"",AND(Z9="x",'THỐNG KÊ'!$E$5-'Thông tin HV'!D9&lt;31),"")</f>
        <v/>
      </c>
      <c r="AV9" s="489">
        <f>IF(C9&lt;&gt;"",AND(Z9="x",AC9,AD9),"")</f>
        <v/>
      </c>
      <c r="AW9" s="489">
        <f>IF(C9&lt;&gt;"",AND(K9&gt;=9,Z9="x"),"")</f>
        <v/>
      </c>
      <c r="AX9" s="489">
        <f>IF(C9&lt;&gt;"",AND(Z9="x",AI9,E9="Nữ"),"")</f>
        <v/>
      </c>
      <c r="AY9" s="489">
        <f>IF(C9&lt;&gt;"",AND(Z9="x",AF9,AC9),"")</f>
        <v/>
      </c>
      <c r="AZ9" s="489">
        <f>IF(C9&lt;&gt;"",AND(Z9="x",'THỐNG KÊ'!$E$5-'Thông tin HV'!D9&lt;26),"")</f>
        <v/>
      </c>
      <c r="BA9" s="489">
        <f>IF(C9&lt;&gt;"",AND(Z9="x",AI9,E9="Nữ"),"")</f>
        <v/>
      </c>
      <c r="BB9" s="489">
        <f>IF(C9&lt;&gt;"",AND(Z9="x",AI9,AC9),"")</f>
        <v/>
      </c>
      <c r="BC9" s="489">
        <f>IF(C9&lt;&gt;"",AND(Z9="x",'THỐNG KÊ'!$E$5-'Thông tin HV'!D9&gt;=26,'THỐNG KÊ'!$E$5-'Thông tin HV'!D9&lt;=45),"")</f>
        <v/>
      </c>
      <c r="BD9" s="489">
        <f>IF(C9&lt;&gt;"",AND(Z9="x",AL9,E9="Nữ"),"")</f>
        <v/>
      </c>
      <c r="BE9" s="489">
        <f>IF(C9&lt;&gt;"",AND(Z9="x",AL9,AC9),"")</f>
        <v/>
      </c>
      <c r="BF9" s="489">
        <f>IF(C9&lt;&gt;"",AND(Z9="x",'THỐNG KÊ'!$E$5-'Thông tin HV'!D9&gt;45),"")</f>
        <v/>
      </c>
      <c r="BG9" s="489">
        <f>IF(C9&lt;&gt;"",AND(Z9="x",AO9,E9="Nữ"),"")</f>
        <v/>
      </c>
      <c r="BH9" s="489">
        <f>IF(C9&lt;&gt;"",AND(Z9="x",AO9,AC9),"")</f>
        <v/>
      </c>
    </row>
    <row r="10" ht="24" customFormat="1" customHeight="1" s="474">
      <c r="A10" s="475" t="inlineStr">
        <is>
          <t>07</t>
        </is>
      </c>
      <c r="B10" s="475" t="n"/>
      <c r="C10" s="476" t="inlineStr">
        <is>
          <t>A Thim</t>
        </is>
      </c>
      <c r="D10" s="477" t="n">
        <v>30386</v>
      </c>
      <c r="E10" s="478" t="inlineStr">
        <is>
          <t>Nam</t>
        </is>
      </c>
      <c r="F10" s="479" t="n"/>
      <c r="G10" s="480" t="inlineStr">
        <is>
          <t>Xê Đăng</t>
        </is>
      </c>
      <c r="H10" s="478" t="n"/>
      <c r="I10" s="481">
        <f>IF(AA10="","",IF(AA10&lt;=30,"X",""))</f>
        <v/>
      </c>
      <c r="J10" s="481">
        <f>IF(AND(I10="X",G10&lt;&gt;"Kinh"),"X","")</f>
        <v/>
      </c>
      <c r="K10" s="482" t="n">
        <v>9</v>
      </c>
      <c r="L10" s="483" t="inlineStr">
        <is>
          <t>Người dân tộc thiểu số</t>
        </is>
      </c>
      <c r="M10" s="484">
        <f>VLOOKUP(L10,IDs!$H$3:$I$12,2,0)</f>
        <v/>
      </c>
      <c r="N10" s="485" t="inlineStr">
        <is>
          <t>Thôn ĐăkTrăm, xã Kon Đào, Quảng Ngãi</t>
        </is>
      </c>
      <c r="O10" s="485" t="inlineStr">
        <is>
          <t>Thôn ĐăkTrăm, xã Kon Đào, Quảng Ngãi</t>
        </is>
      </c>
      <c r="P10" s="485" t="inlineStr">
        <is>
          <t>Thôn ĐăkTrăm, xã Kon Đào, Quảng Ngãi</t>
        </is>
      </c>
      <c r="Q10" s="485" t="n"/>
      <c r="R10" s="486" t="n"/>
      <c r="S10" s="486" t="n"/>
      <c r="T10" s="486" t="n"/>
      <c r="U10" s="486" t="n"/>
      <c r="V10" s="486" t="n"/>
      <c r="W10" s="486" t="n"/>
      <c r="X10" s="487">
        <f>IF(D10="","",IF(YEAR(TODAY())-D10&lt;15,"Không đủ tuổi theo học",IF(AND(E10="Nam",YEAR(TODAY())-D10&gt;60),"Quá tuổi theo học",IF(AND(E10="Nữ",YEAR(TODAY())-D10&gt;55),"Quá tuổi theo học","Đảm bảo"))))</f>
        <v/>
      </c>
      <c r="Y10" s="487">
        <f>IF(C10="","",IF(OR(LEFT(C10,1)="Y",LEFT(C10,1)="A"),"",IF(L10&lt;&gt;"Đối tượng lao động nông thôn khác","Cần hồ sơ chứng minh nhóm đối tượng","")))</f>
        <v/>
      </c>
      <c r="Z10" s="488" t="n"/>
      <c r="AA10" s="481">
        <f>IF(OR(D10="",'KHÓA HỌC'!$D$8=""),"",DATEDIF(D10,'KHÓA HỌC'!$D$8,"y"))</f>
        <v/>
      </c>
      <c r="AB10" s="489">
        <f>IF(C10&lt;&gt;"",AND(E10="Nữ",L10="Người dân tộc thiểu số"),"")</f>
        <v/>
      </c>
      <c r="AC10" s="489">
        <f>IF(C10&lt;&gt;"",L10="Người dân tộc thiểu số","")</f>
        <v/>
      </c>
      <c r="AD10" s="490">
        <f>IF(C10&lt;&gt;"",'THỐNG KÊ'!$E$5-'Thông tin HV'!D10&lt;31,"")</f>
        <v/>
      </c>
      <c r="AE10" s="489">
        <f>IF(C10&lt;&gt;"",AND(AC10,AD10),"")</f>
        <v/>
      </c>
      <c r="AF10" s="489">
        <f>IF(C10&lt;&gt;"",(K10&gt;=9),"")</f>
        <v/>
      </c>
      <c r="AG10" s="489">
        <f>IF(C10&lt;&gt;"",AND(AF10,E10="Nữ"),"")</f>
        <v/>
      </c>
      <c r="AH10" s="489">
        <f>IF(C10&lt;&gt;"",AND(AF10,AC10),"")</f>
        <v/>
      </c>
      <c r="AI10" s="489">
        <f>IF(C10&lt;&gt;"",'THỐNG KÊ'!$E$5-'Thông tin HV'!D10&lt;26,"")</f>
        <v/>
      </c>
      <c r="AJ10" s="489">
        <f>IF(C10&lt;&gt;"",AND(AI10,E10="Nữ"),"")</f>
        <v/>
      </c>
      <c r="AK10" s="489">
        <f>IF(C10&lt;&gt;"",AND(AI10,AC10),"")</f>
        <v/>
      </c>
      <c r="AL10" s="489">
        <f>IF(C10&lt;&gt;"",AND('THỐNG KÊ'!$E$5-'Thông tin HV'!D10&gt;=26,'THỐNG KÊ'!$E$5-'Thông tin HV'!D10&lt;=45),"")</f>
        <v/>
      </c>
      <c r="AM10" s="489">
        <f>IF(C10&lt;&gt;"",AND(AL10,E10="Nữ"),"")</f>
        <v/>
      </c>
      <c r="AN10" s="489">
        <f>IF(C10&lt;&gt;"",AND(AL10,AC10),"")</f>
        <v/>
      </c>
      <c r="AO10" s="489">
        <f>IF(C10&lt;&gt;"",'THỐNG KÊ'!$E$5-'Thông tin HV'!D10&gt;45,"")</f>
        <v/>
      </c>
      <c r="AP10" s="489">
        <f>IF(C10&lt;&gt;"",AND(AO10,E10="Nữ"),"")</f>
        <v/>
      </c>
      <c r="AQ10" s="489">
        <f>IF(C10&lt;&gt;"",AND(AO10,AC10),"")</f>
        <v/>
      </c>
      <c r="AR10" s="489">
        <f>IF(C10&lt;&gt;"",AND(Z10="x",E10="Nữ"),"")</f>
        <v/>
      </c>
      <c r="AS10" s="489">
        <f>IF(C10&lt;&gt;"",AND(Z10="x",E10="Nữ",L10="Người dân tộc thiểu số"),"")</f>
        <v/>
      </c>
      <c r="AT10" s="489">
        <f>IF(C10&lt;&gt;"",AND(Z10="x",L10="Người dân tộc thiểu số"),"")</f>
        <v/>
      </c>
      <c r="AU10" s="490">
        <f>IF(C10&lt;&gt;"",AND(Z10="x",'THỐNG KÊ'!$E$5-'Thông tin HV'!D10&lt;31),"")</f>
        <v/>
      </c>
      <c r="AV10" s="489">
        <f>IF(C10&lt;&gt;"",AND(Z10="x",AC10,AD10),"")</f>
        <v/>
      </c>
      <c r="AW10" s="489">
        <f>IF(C10&lt;&gt;"",AND(K10&gt;=9,Z10="x"),"")</f>
        <v/>
      </c>
      <c r="AX10" s="489">
        <f>IF(C10&lt;&gt;"",AND(Z10="x",AI10,E10="Nữ"),"")</f>
        <v/>
      </c>
      <c r="AY10" s="489">
        <f>IF(C10&lt;&gt;"",AND(Z10="x",AF10,AC10),"")</f>
        <v/>
      </c>
      <c r="AZ10" s="489">
        <f>IF(C10&lt;&gt;"",AND(Z10="x",'THỐNG KÊ'!$E$5-'Thông tin HV'!D10&lt;26),"")</f>
        <v/>
      </c>
      <c r="BA10" s="489">
        <f>IF(C10&lt;&gt;"",AND(Z10="x",AI10,E10="Nữ"),"")</f>
        <v/>
      </c>
      <c r="BB10" s="489">
        <f>IF(C10&lt;&gt;"",AND(Z10="x",AI10,AC10),"")</f>
        <v/>
      </c>
      <c r="BC10" s="489">
        <f>IF(C10&lt;&gt;"",AND(Z10="x",'THỐNG KÊ'!$E$5-'Thông tin HV'!D10&gt;=26,'THỐNG KÊ'!$E$5-'Thông tin HV'!D10&lt;=45),"")</f>
        <v/>
      </c>
      <c r="BD10" s="489">
        <f>IF(C10&lt;&gt;"",AND(Z10="x",AL10,E10="Nữ"),"")</f>
        <v/>
      </c>
      <c r="BE10" s="489">
        <f>IF(C10&lt;&gt;"",AND(Z10="x",AL10,AC10),"")</f>
        <v/>
      </c>
      <c r="BF10" s="489">
        <f>IF(C10&lt;&gt;"",AND(Z10="x",'THỐNG KÊ'!$E$5-'Thông tin HV'!D10&gt;45),"")</f>
        <v/>
      </c>
      <c r="BG10" s="489">
        <f>IF(C10&lt;&gt;"",AND(Z10="x",AO10,E10="Nữ"),"")</f>
        <v/>
      </c>
      <c r="BH10" s="489">
        <f>IF(C10&lt;&gt;"",AND(Z10="x",AO10,AC10),"")</f>
        <v/>
      </c>
    </row>
    <row r="11" ht="24" customFormat="1" customHeight="1" s="474">
      <c r="A11" s="475" t="inlineStr">
        <is>
          <t>08</t>
        </is>
      </c>
      <c r="B11" s="475" t="n"/>
      <c r="C11" s="476" t="inlineStr">
        <is>
          <t>A Khinh</t>
        </is>
      </c>
      <c r="D11" s="477" t="n">
        <v>30386</v>
      </c>
      <c r="E11" s="478" t="inlineStr">
        <is>
          <t>Nam</t>
        </is>
      </c>
      <c r="F11" s="479" t="n"/>
      <c r="G11" s="480" t="inlineStr">
        <is>
          <t>Xê Đăng</t>
        </is>
      </c>
      <c r="H11" s="478" t="n"/>
      <c r="I11" s="481">
        <f>IF(AA11="","",IF(AA11&lt;=30,"X",""))</f>
        <v/>
      </c>
      <c r="J11" s="481">
        <f>IF(AND(I11="X",G11&lt;&gt;"Kinh"),"X","")</f>
        <v/>
      </c>
      <c r="K11" s="482" t="n">
        <v>5</v>
      </c>
      <c r="L11" s="483" t="inlineStr">
        <is>
          <t>Người dân tộc thiểu số</t>
        </is>
      </c>
      <c r="M11" s="484">
        <f>VLOOKUP(L11,IDs!$H$3:$I$12,2,0)</f>
        <v/>
      </c>
      <c r="N11" s="485" t="inlineStr">
        <is>
          <t>Thôn ĐăkTrăm, xã Kon Đào, Quảng Ngãi</t>
        </is>
      </c>
      <c r="O11" s="485" t="inlineStr">
        <is>
          <t>Thôn ĐăkTrăm, xã Kon Đào, Quảng Ngãi</t>
        </is>
      </c>
      <c r="P11" s="485" t="inlineStr">
        <is>
          <t>Thôn ĐăkTrăm, xã Kon Đào, Quảng Ngãi</t>
        </is>
      </c>
      <c r="Q11" s="485" t="n"/>
      <c r="R11" s="486" t="n"/>
      <c r="S11" s="486" t="n"/>
      <c r="T11" s="486" t="n"/>
      <c r="U11" s="486" t="n"/>
      <c r="V11" s="486" t="n"/>
      <c r="W11" s="486" t="n"/>
      <c r="X11" s="487">
        <f>IF(D11="","",IF(YEAR(TODAY())-D11&lt;15,"Không đủ tuổi theo học",IF(AND(E11="Nam",YEAR(TODAY())-D11&gt;60),"Quá tuổi theo học",IF(AND(E11="Nữ",YEAR(TODAY())-D11&gt;55),"Quá tuổi theo học","Đảm bảo"))))</f>
        <v/>
      </c>
      <c r="Y11" s="487">
        <f>IF(C11="","",IF(OR(LEFT(C11,1)="Y",LEFT(C11,1)="A"),"",IF(L11&lt;&gt;"Đối tượng lao động nông thôn khác","Cần hồ sơ chứng minh nhóm đối tượng","")))</f>
        <v/>
      </c>
      <c r="Z11" s="488" t="n"/>
      <c r="AA11" s="481">
        <f>IF(OR(D11="",'KHÓA HỌC'!$D$8=""),"",DATEDIF(D11,'KHÓA HỌC'!$D$8,"y"))</f>
        <v/>
      </c>
      <c r="AB11" s="489">
        <f>IF(C11&lt;&gt;"",AND(E11="Nữ",L11="Người dân tộc thiểu số"),"")</f>
        <v/>
      </c>
      <c r="AC11" s="489">
        <f>IF(C11&lt;&gt;"",L11="Người dân tộc thiểu số","")</f>
        <v/>
      </c>
      <c r="AD11" s="490">
        <f>IF(C11&lt;&gt;"",'THỐNG KÊ'!$E$5-'Thông tin HV'!D11&lt;31,"")</f>
        <v/>
      </c>
      <c r="AE11" s="489">
        <f>IF(C11&lt;&gt;"",AND(AC11,AD11),"")</f>
        <v/>
      </c>
      <c r="AF11" s="489">
        <f>IF(C11&lt;&gt;"",(K11&gt;=9),"")</f>
        <v/>
      </c>
      <c r="AG11" s="489">
        <f>IF(C11&lt;&gt;"",AND(AF11,E11="Nữ"),"")</f>
        <v/>
      </c>
      <c r="AH11" s="489">
        <f>IF(C11&lt;&gt;"",AND(AF11,AC11),"")</f>
        <v/>
      </c>
      <c r="AI11" s="489">
        <f>IF(C11&lt;&gt;"",'THỐNG KÊ'!$E$5-'Thông tin HV'!D11&lt;26,"")</f>
        <v/>
      </c>
      <c r="AJ11" s="489">
        <f>IF(C11&lt;&gt;"",AND(AI11,E11="Nữ"),"")</f>
        <v/>
      </c>
      <c r="AK11" s="489">
        <f>IF(C11&lt;&gt;"",AND(AI11,AC11),"")</f>
        <v/>
      </c>
      <c r="AL11" s="489">
        <f>IF(C11&lt;&gt;"",AND('THỐNG KÊ'!$E$5-'Thông tin HV'!D11&gt;=26,'THỐNG KÊ'!$E$5-'Thông tin HV'!D11&lt;=45),"")</f>
        <v/>
      </c>
      <c r="AM11" s="489">
        <f>IF(C11&lt;&gt;"",AND(AL11,E11="Nữ"),"")</f>
        <v/>
      </c>
      <c r="AN11" s="489">
        <f>IF(C11&lt;&gt;"",AND(AL11,AC11),"")</f>
        <v/>
      </c>
      <c r="AO11" s="489">
        <f>IF(C11&lt;&gt;"",'THỐNG KÊ'!$E$5-'Thông tin HV'!D11&gt;45,"")</f>
        <v/>
      </c>
      <c r="AP11" s="489">
        <f>IF(C11&lt;&gt;"",AND(AO11,E11="Nữ"),"")</f>
        <v/>
      </c>
      <c r="AQ11" s="489">
        <f>IF(C11&lt;&gt;"",AND(AO11,AC11),"")</f>
        <v/>
      </c>
      <c r="AR11" s="489">
        <f>IF(C11&lt;&gt;"",AND(Z11="x",E11="Nữ"),"")</f>
        <v/>
      </c>
      <c r="AS11" s="489">
        <f>IF(C11&lt;&gt;"",AND(Z11="x",E11="Nữ",L11="Người dân tộc thiểu số"),"")</f>
        <v/>
      </c>
      <c r="AT11" s="489">
        <f>IF(C11&lt;&gt;"",AND(Z11="x",L11="Người dân tộc thiểu số"),"")</f>
        <v/>
      </c>
      <c r="AU11" s="490">
        <f>IF(C11&lt;&gt;"",AND(Z11="x",'THỐNG KÊ'!$E$5-'Thông tin HV'!D11&lt;31),"")</f>
        <v/>
      </c>
      <c r="AV11" s="489">
        <f>IF(C11&lt;&gt;"",AND(Z11="x",AC11,AD11),"")</f>
        <v/>
      </c>
      <c r="AW11" s="489">
        <f>IF(C11&lt;&gt;"",AND(K11&gt;=9,Z11="x"),"")</f>
        <v/>
      </c>
      <c r="AX11" s="489">
        <f>IF(C11&lt;&gt;"",AND(Z11="x",AI11,E11="Nữ"),"")</f>
        <v/>
      </c>
      <c r="AY11" s="489">
        <f>IF(C11&lt;&gt;"",AND(Z11="x",AF11,AC11),"")</f>
        <v/>
      </c>
      <c r="AZ11" s="489">
        <f>IF(C11&lt;&gt;"",AND(Z11="x",'THỐNG KÊ'!$E$5-'Thông tin HV'!D11&lt;26),"")</f>
        <v/>
      </c>
      <c r="BA11" s="489">
        <f>IF(C11&lt;&gt;"",AND(Z11="x",AI11,E11="Nữ"),"")</f>
        <v/>
      </c>
      <c r="BB11" s="489">
        <f>IF(C11&lt;&gt;"",AND(Z11="x",AI11,AC11),"")</f>
        <v/>
      </c>
      <c r="BC11" s="489">
        <f>IF(C11&lt;&gt;"",AND(Z11="x",'THỐNG KÊ'!$E$5-'Thông tin HV'!D11&gt;=26,'THỐNG KÊ'!$E$5-'Thông tin HV'!D11&lt;=45),"")</f>
        <v/>
      </c>
      <c r="BD11" s="489">
        <f>IF(C11&lt;&gt;"",AND(Z11="x",AL11,E11="Nữ"),"")</f>
        <v/>
      </c>
      <c r="BE11" s="489">
        <f>IF(C11&lt;&gt;"",AND(Z11="x",AL11,AC11),"")</f>
        <v/>
      </c>
      <c r="BF11" s="489">
        <f>IF(C11&lt;&gt;"",AND(Z11="x",'THỐNG KÊ'!$E$5-'Thông tin HV'!D11&gt;45),"")</f>
        <v/>
      </c>
      <c r="BG11" s="489">
        <f>IF(C11&lt;&gt;"",AND(Z11="x",AO11,E11="Nữ"),"")</f>
        <v/>
      </c>
      <c r="BH11" s="489">
        <f>IF(C11&lt;&gt;"",AND(Z11="x",AO11,AC11),"")</f>
        <v/>
      </c>
    </row>
    <row r="12" ht="24" customFormat="1" customHeight="1" s="474">
      <c r="A12" s="475" t="inlineStr">
        <is>
          <t>09</t>
        </is>
      </c>
      <c r="B12" s="475" t="n"/>
      <c r="C12" s="476" t="inlineStr">
        <is>
          <t>A Bar</t>
        </is>
      </c>
      <c r="D12" s="477" t="n">
        <v>30386</v>
      </c>
      <c r="E12" s="478" t="inlineStr">
        <is>
          <t>Nam</t>
        </is>
      </c>
      <c r="F12" s="479" t="n"/>
      <c r="G12" s="480" t="inlineStr">
        <is>
          <t>Xê Đăng</t>
        </is>
      </c>
      <c r="H12" s="478" t="n"/>
      <c r="I12" s="481">
        <f>IF(AA12="","",IF(AA12&lt;=30,"X",""))</f>
        <v/>
      </c>
      <c r="J12" s="481">
        <f>IF(AND(I12="X",G12&lt;&gt;"Kinh"),"X","")</f>
        <v/>
      </c>
      <c r="K12" s="482" t="n">
        <v>9</v>
      </c>
      <c r="L12" s="483" t="inlineStr">
        <is>
          <t>Người dân tộc thiểu số</t>
        </is>
      </c>
      <c r="M12" s="484">
        <f>VLOOKUP(L12,IDs!$H$3:$I$12,2,0)</f>
        <v/>
      </c>
      <c r="N12" s="485" t="inlineStr">
        <is>
          <t>Thôn ĐăkTrăm, xã Kon Đào, Quảng Ngãi</t>
        </is>
      </c>
      <c r="O12" s="485" t="inlineStr">
        <is>
          <t>Thôn ĐăkTrăm, xã Kon Đào, Quảng Ngãi</t>
        </is>
      </c>
      <c r="P12" s="485" t="inlineStr">
        <is>
          <t>Thôn ĐăkTrăm, xã Kon Đào, Quảng Ngãi</t>
        </is>
      </c>
      <c r="Q12" s="485" t="n"/>
      <c r="R12" s="486" t="n"/>
      <c r="S12" s="486" t="n"/>
      <c r="T12" s="486" t="n"/>
      <c r="U12" s="486" t="n"/>
      <c r="V12" s="486" t="n"/>
      <c r="W12" s="486" t="n"/>
      <c r="X12" s="487">
        <f>IF(D12="","",IF(YEAR(TODAY())-D12&lt;15,"Không đủ tuổi theo học",IF(AND(E12="Nam",YEAR(TODAY())-D12&gt;60),"Quá tuổi theo học",IF(AND(E12="Nữ",YEAR(TODAY())-D12&gt;55),"Quá tuổi theo học","Đảm bảo"))))</f>
        <v/>
      </c>
      <c r="Y12" s="487">
        <f>IF(C12="","",IF(OR(LEFT(C12,1)="Y",LEFT(C12,1)="A"),"",IF(L12&lt;&gt;"Đối tượng lao động nông thôn khác","Cần hồ sơ chứng minh nhóm đối tượng","")))</f>
        <v/>
      </c>
      <c r="Z12" s="488" t="n"/>
      <c r="AA12" s="481">
        <f>IF(OR(D12="",'KHÓA HỌC'!$D$8=""),"",DATEDIF(D12,'KHÓA HỌC'!$D$8,"y"))</f>
        <v/>
      </c>
      <c r="AB12" s="489">
        <f>IF(C12&lt;&gt;"",AND(E12="Nữ",L12="Người dân tộc thiểu số"),"")</f>
        <v/>
      </c>
      <c r="AC12" s="489">
        <f>IF(C12&lt;&gt;"",L12="Người dân tộc thiểu số","")</f>
        <v/>
      </c>
      <c r="AD12" s="490">
        <f>IF(C12&lt;&gt;"",'THỐNG KÊ'!$E$5-'Thông tin HV'!D12&lt;31,"")</f>
        <v/>
      </c>
      <c r="AE12" s="489">
        <f>IF(C12&lt;&gt;"",AND(AC12,AD12),"")</f>
        <v/>
      </c>
      <c r="AF12" s="489">
        <f>IF(C12&lt;&gt;"",(K12&gt;=9),"")</f>
        <v/>
      </c>
      <c r="AG12" s="489">
        <f>IF(C12&lt;&gt;"",AND(AF12,E12="Nữ"),"")</f>
        <v/>
      </c>
      <c r="AH12" s="489">
        <f>IF(C12&lt;&gt;"",AND(AF12,AC12),"")</f>
        <v/>
      </c>
      <c r="AI12" s="489">
        <f>IF(C12&lt;&gt;"",'THỐNG KÊ'!$E$5-'Thông tin HV'!D12&lt;26,"")</f>
        <v/>
      </c>
      <c r="AJ12" s="489">
        <f>IF(C12&lt;&gt;"",AND(AI12,E12="Nữ"),"")</f>
        <v/>
      </c>
      <c r="AK12" s="489">
        <f>IF(C12&lt;&gt;"",AND(AI12,AC12),"")</f>
        <v/>
      </c>
      <c r="AL12" s="489">
        <f>IF(C12&lt;&gt;"",AND('THỐNG KÊ'!$E$5-'Thông tin HV'!D12&gt;=26,'THỐNG KÊ'!$E$5-'Thông tin HV'!D12&lt;=45),"")</f>
        <v/>
      </c>
      <c r="AM12" s="489">
        <f>IF(C12&lt;&gt;"",AND(AL12,E12="Nữ"),"")</f>
        <v/>
      </c>
      <c r="AN12" s="489">
        <f>IF(C12&lt;&gt;"",AND(AL12,AC12),"")</f>
        <v/>
      </c>
      <c r="AO12" s="489">
        <f>IF(C12&lt;&gt;"",'THỐNG KÊ'!$E$5-'Thông tin HV'!D12&gt;45,"")</f>
        <v/>
      </c>
      <c r="AP12" s="489">
        <f>IF(C12&lt;&gt;"",AND(AO12,E12="Nữ"),"")</f>
        <v/>
      </c>
      <c r="AQ12" s="489">
        <f>IF(C12&lt;&gt;"",AND(AO12,AC12),"")</f>
        <v/>
      </c>
      <c r="AR12" s="489">
        <f>IF(C12&lt;&gt;"",AND(Z12="x",E12="Nữ"),"")</f>
        <v/>
      </c>
      <c r="AS12" s="489">
        <f>IF(C12&lt;&gt;"",AND(Z12="x",E12="Nữ",L12="Người dân tộc thiểu số"),"")</f>
        <v/>
      </c>
      <c r="AT12" s="489">
        <f>IF(C12&lt;&gt;"",AND(Z12="x",L12="Người dân tộc thiểu số"),"")</f>
        <v/>
      </c>
      <c r="AU12" s="490">
        <f>IF(C12&lt;&gt;"",AND(Z12="x",'THỐNG KÊ'!$E$5-'Thông tin HV'!D12&lt;31),"")</f>
        <v/>
      </c>
      <c r="AV12" s="489">
        <f>IF(C12&lt;&gt;"",AND(Z12="x",AC12,AD12),"")</f>
        <v/>
      </c>
      <c r="AW12" s="489">
        <f>IF(C12&lt;&gt;"",AND(K12&gt;=9,Z12="x"),"")</f>
        <v/>
      </c>
      <c r="AX12" s="489">
        <f>IF(C12&lt;&gt;"",AND(Z12="x",AI12,E12="Nữ"),"")</f>
        <v/>
      </c>
      <c r="AY12" s="489">
        <f>IF(C12&lt;&gt;"",AND(Z12="x",AF12,AC12),"")</f>
        <v/>
      </c>
      <c r="AZ12" s="489">
        <f>IF(C12&lt;&gt;"",AND(Z12="x",'THỐNG KÊ'!$E$5-'Thông tin HV'!D12&lt;26),"")</f>
        <v/>
      </c>
      <c r="BA12" s="489">
        <f>IF(C12&lt;&gt;"",AND(Z12="x",AI12,E12="Nữ"),"")</f>
        <v/>
      </c>
      <c r="BB12" s="489">
        <f>IF(C12&lt;&gt;"",AND(Z12="x",AI12,AC12),"")</f>
        <v/>
      </c>
      <c r="BC12" s="489">
        <f>IF(C12&lt;&gt;"",AND(Z12="x",'THỐNG KÊ'!$E$5-'Thông tin HV'!D12&gt;=26,'THỐNG KÊ'!$E$5-'Thông tin HV'!D12&lt;=45),"")</f>
        <v/>
      </c>
      <c r="BD12" s="489">
        <f>IF(C12&lt;&gt;"",AND(Z12="x",AL12,E12="Nữ"),"")</f>
        <v/>
      </c>
      <c r="BE12" s="489">
        <f>IF(C12&lt;&gt;"",AND(Z12="x",AL12,AC12),"")</f>
        <v/>
      </c>
      <c r="BF12" s="489">
        <f>IF(C12&lt;&gt;"",AND(Z12="x",'THỐNG KÊ'!$E$5-'Thông tin HV'!D12&gt;45),"")</f>
        <v/>
      </c>
      <c r="BG12" s="489">
        <f>IF(C12&lt;&gt;"",AND(Z12="x",AO12,E12="Nữ"),"")</f>
        <v/>
      </c>
      <c r="BH12" s="489">
        <f>IF(C12&lt;&gt;"",AND(Z12="x",AO12,AC12),"")</f>
        <v/>
      </c>
    </row>
    <row r="13" ht="24" customFormat="1" customHeight="1" s="474">
      <c r="A13" s="475" t="inlineStr">
        <is>
          <t>10</t>
        </is>
      </c>
      <c r="B13" s="475" t="n"/>
      <c r="C13" s="476" t="inlineStr">
        <is>
          <t>A Bếch</t>
        </is>
      </c>
      <c r="D13" s="477" t="n">
        <v>30386</v>
      </c>
      <c r="E13" s="478" t="inlineStr">
        <is>
          <t>Nam</t>
        </is>
      </c>
      <c r="F13" s="479" t="n"/>
      <c r="G13" s="480" t="inlineStr">
        <is>
          <t>Xê Đăng</t>
        </is>
      </c>
      <c r="H13" s="478" t="n"/>
      <c r="I13" s="481">
        <f>IF(AA13="","",IF(AA13&lt;=30,"X",""))</f>
        <v/>
      </c>
      <c r="J13" s="481">
        <f>IF(AND(I13="X",G13&lt;&gt;"Kinh"),"X","")</f>
        <v/>
      </c>
      <c r="K13" s="482" t="n">
        <v>9</v>
      </c>
      <c r="L13" s="483" t="inlineStr">
        <is>
          <t>Người dân tộc thiểu số</t>
        </is>
      </c>
      <c r="M13" s="484">
        <f>VLOOKUP(L13,IDs!$H$3:$I$12,2,0)</f>
        <v/>
      </c>
      <c r="N13" s="485" t="inlineStr">
        <is>
          <t>Thôn ĐăkTrăm, xã Kon Đào, Quảng Ngãi</t>
        </is>
      </c>
      <c r="O13" s="485" t="inlineStr">
        <is>
          <t>Thôn ĐăkTrăm, xã Kon Đào, Quảng Ngãi</t>
        </is>
      </c>
      <c r="P13" s="485" t="inlineStr">
        <is>
          <t>Thôn ĐăkTrăm, xã Kon Đào, Quảng Ngãi</t>
        </is>
      </c>
      <c r="Q13" s="485" t="n"/>
      <c r="R13" s="486" t="n"/>
      <c r="S13" s="486" t="n"/>
      <c r="T13" s="486" t="n"/>
      <c r="U13" s="486" t="n"/>
      <c r="V13" s="486" t="n"/>
      <c r="W13" s="486" t="n"/>
      <c r="X13" s="487">
        <f>IF(D13="","",IF(YEAR(TODAY())-D13&lt;15,"Không đủ tuổi theo học",IF(AND(E13="Nam",YEAR(TODAY())-D13&gt;60),"Quá tuổi theo học",IF(AND(E13="Nữ",YEAR(TODAY())-D13&gt;55),"Quá tuổi theo học","Đảm bảo"))))</f>
        <v/>
      </c>
      <c r="Y13" s="487">
        <f>IF(C13="","",IF(OR(LEFT(C13,1)="Y",LEFT(C13,1)="A"),"",IF(L13&lt;&gt;"Đối tượng lao động nông thôn khác","Cần hồ sơ chứng minh nhóm đối tượng","")))</f>
        <v/>
      </c>
      <c r="Z13" s="488" t="n"/>
      <c r="AA13" s="481">
        <f>IF(OR(D13="",'KHÓA HỌC'!$D$8=""),"",DATEDIF(D13,'KHÓA HỌC'!$D$8,"y"))</f>
        <v/>
      </c>
      <c r="AB13" s="489">
        <f>IF(C13&lt;&gt;"",AND(E13="Nữ",L13="Người dân tộc thiểu số"),"")</f>
        <v/>
      </c>
      <c r="AC13" s="489">
        <f>IF(C13&lt;&gt;"",L13="Người dân tộc thiểu số","")</f>
        <v/>
      </c>
      <c r="AD13" s="490">
        <f>IF(C13&lt;&gt;"",'THỐNG KÊ'!$E$5-'Thông tin HV'!D13&lt;31,"")</f>
        <v/>
      </c>
      <c r="AE13" s="489">
        <f>IF(C13&lt;&gt;"",AND(AC13,AD13),"")</f>
        <v/>
      </c>
      <c r="AF13" s="489">
        <f>IF(C13&lt;&gt;"",(K13&gt;=9),"")</f>
        <v/>
      </c>
      <c r="AG13" s="489">
        <f>IF(C13&lt;&gt;"",AND(AF13,E13="Nữ"),"")</f>
        <v/>
      </c>
      <c r="AH13" s="489">
        <f>IF(C13&lt;&gt;"",AND(AF13,AC13),"")</f>
        <v/>
      </c>
      <c r="AI13" s="489">
        <f>IF(C13&lt;&gt;"",'THỐNG KÊ'!$E$5-'Thông tin HV'!D13&lt;26,"")</f>
        <v/>
      </c>
      <c r="AJ13" s="489">
        <f>IF(C13&lt;&gt;"",AND(AI13,E13="Nữ"),"")</f>
        <v/>
      </c>
      <c r="AK13" s="489">
        <f>IF(C13&lt;&gt;"",AND(AI13,AC13),"")</f>
        <v/>
      </c>
      <c r="AL13" s="489">
        <f>IF(C13&lt;&gt;"",AND('THỐNG KÊ'!$E$5-'Thông tin HV'!D13&gt;=26,'THỐNG KÊ'!$E$5-'Thông tin HV'!D13&lt;=45),"")</f>
        <v/>
      </c>
      <c r="AM13" s="489">
        <f>IF(C13&lt;&gt;"",AND(AL13,E13="Nữ"),"")</f>
        <v/>
      </c>
      <c r="AN13" s="489">
        <f>IF(C13&lt;&gt;"",AND(AL13,AC13),"")</f>
        <v/>
      </c>
      <c r="AO13" s="489">
        <f>IF(C13&lt;&gt;"",'THỐNG KÊ'!$E$5-'Thông tin HV'!D13&gt;45,"")</f>
        <v/>
      </c>
      <c r="AP13" s="489">
        <f>IF(C13&lt;&gt;"",AND(AO13,E13="Nữ"),"")</f>
        <v/>
      </c>
      <c r="AQ13" s="489">
        <f>IF(C13&lt;&gt;"",AND(AO13,AC13),"")</f>
        <v/>
      </c>
      <c r="AR13" s="489">
        <f>IF(C13&lt;&gt;"",AND(Z13="x",E13="Nữ"),"")</f>
        <v/>
      </c>
      <c r="AS13" s="489">
        <f>IF(C13&lt;&gt;"",AND(Z13="x",E13="Nữ",L13="Người dân tộc thiểu số"),"")</f>
        <v/>
      </c>
      <c r="AT13" s="489">
        <f>IF(C13&lt;&gt;"",AND(Z13="x",L13="Người dân tộc thiểu số"),"")</f>
        <v/>
      </c>
      <c r="AU13" s="490">
        <f>IF(C13&lt;&gt;"",AND(Z13="x",'THỐNG KÊ'!$E$5-'Thông tin HV'!D13&lt;31),"")</f>
        <v/>
      </c>
      <c r="AV13" s="489">
        <f>IF(C13&lt;&gt;"",AND(Z13="x",AC13,AD13),"")</f>
        <v/>
      </c>
      <c r="AW13" s="489">
        <f>IF(C13&lt;&gt;"",AND(K13&gt;=9,Z13="x"),"")</f>
        <v/>
      </c>
      <c r="AX13" s="489">
        <f>IF(C13&lt;&gt;"",AND(Z13="x",AI13,E13="Nữ"),"")</f>
        <v/>
      </c>
      <c r="AY13" s="489">
        <f>IF(C13&lt;&gt;"",AND(Z13="x",AF13,AC13),"")</f>
        <v/>
      </c>
      <c r="AZ13" s="489">
        <f>IF(C13&lt;&gt;"",AND(Z13="x",'THỐNG KÊ'!$E$5-'Thông tin HV'!D13&lt;26),"")</f>
        <v/>
      </c>
      <c r="BA13" s="489">
        <f>IF(C13&lt;&gt;"",AND(Z13="x",AI13,E13="Nữ"),"")</f>
        <v/>
      </c>
      <c r="BB13" s="489">
        <f>IF(C13&lt;&gt;"",AND(Z13="x",AI13,AC13),"")</f>
        <v/>
      </c>
      <c r="BC13" s="489">
        <f>IF(C13&lt;&gt;"",AND(Z13="x",'THỐNG KÊ'!$E$5-'Thông tin HV'!D13&gt;=26,'THỐNG KÊ'!$E$5-'Thông tin HV'!D13&lt;=45),"")</f>
        <v/>
      </c>
      <c r="BD13" s="489">
        <f>IF(C13&lt;&gt;"",AND(Z13="x",AL13,E13="Nữ"),"")</f>
        <v/>
      </c>
      <c r="BE13" s="489">
        <f>IF(C13&lt;&gt;"",AND(Z13="x",AL13,AC13),"")</f>
        <v/>
      </c>
      <c r="BF13" s="489">
        <f>IF(C13&lt;&gt;"",AND(Z13="x",'THỐNG KÊ'!$E$5-'Thông tin HV'!D13&gt;45),"")</f>
        <v/>
      </c>
      <c r="BG13" s="489">
        <f>IF(C13&lt;&gt;"",AND(Z13="x",AO13,E13="Nữ"),"")</f>
        <v/>
      </c>
      <c r="BH13" s="489">
        <f>IF(C13&lt;&gt;"",AND(Z13="x",AO13,AC13),"")</f>
        <v/>
      </c>
    </row>
    <row r="14" ht="24" customFormat="1" customHeight="1" s="474">
      <c r="A14" s="475" t="inlineStr">
        <is>
          <t>11</t>
        </is>
      </c>
      <c r="B14" s="475" t="n"/>
      <c r="C14" s="476" t="inlineStr">
        <is>
          <t>A Đông</t>
        </is>
      </c>
      <c r="D14" s="477" t="n">
        <v>30386</v>
      </c>
      <c r="E14" s="478" t="inlineStr">
        <is>
          <t>Nam</t>
        </is>
      </c>
      <c r="F14" s="479" t="n"/>
      <c r="G14" s="480" t="inlineStr">
        <is>
          <t>Xê Đăng</t>
        </is>
      </c>
      <c r="H14" s="478" t="n"/>
      <c r="I14" s="481">
        <f>IF(AA14="","",IF(AA14&lt;=30,"X",""))</f>
        <v/>
      </c>
      <c r="J14" s="481">
        <f>IF(AND(I14="X",G14&lt;&gt;"Kinh"),"X","")</f>
        <v/>
      </c>
      <c r="K14" s="482" t="n">
        <v>8</v>
      </c>
      <c r="L14" s="483" t="inlineStr">
        <is>
          <t>Người dân tộc thiểu số</t>
        </is>
      </c>
      <c r="M14" s="484">
        <f>VLOOKUP(L14,IDs!$H$3:$I$12,2,0)</f>
        <v/>
      </c>
      <c r="N14" s="485" t="inlineStr">
        <is>
          <t>Thôn ĐăkTrăm, xã Kon Đào, Quảng Ngãi</t>
        </is>
      </c>
      <c r="O14" s="485" t="inlineStr">
        <is>
          <t>Thôn ĐăkTrăm, xã Kon Đào, Quảng Ngãi</t>
        </is>
      </c>
      <c r="P14" s="485" t="inlineStr">
        <is>
          <t>Thôn ĐăkTrăm, xã Kon Đào, Quảng Ngãi</t>
        </is>
      </c>
      <c r="Q14" s="485" t="n"/>
      <c r="R14" s="486" t="n"/>
      <c r="S14" s="486" t="n"/>
      <c r="T14" s="486" t="n"/>
      <c r="U14" s="486" t="n"/>
      <c r="V14" s="486" t="n"/>
      <c r="W14" s="486" t="n"/>
      <c r="X14" s="487">
        <f>IF(D14="","",IF(YEAR(TODAY())-D14&lt;15,"Không đủ tuổi theo học",IF(AND(E14="Nam",YEAR(TODAY())-D14&gt;60),"Quá tuổi theo học",IF(AND(E14="Nữ",YEAR(TODAY())-D14&gt;55),"Quá tuổi theo học","Đảm bảo"))))</f>
        <v/>
      </c>
      <c r="Y14" s="487">
        <f>IF(C14="","",IF(OR(LEFT(C14,1)="Y",LEFT(C14,1)="A"),"",IF(L14&lt;&gt;"Đối tượng lao động nông thôn khác","Cần hồ sơ chứng minh nhóm đối tượng","")))</f>
        <v/>
      </c>
      <c r="Z14" s="488" t="n"/>
      <c r="AA14" s="481">
        <f>IF(OR(D14="",'KHÓA HỌC'!$D$8=""),"",DATEDIF(D14,'KHÓA HỌC'!$D$8,"y"))</f>
        <v/>
      </c>
      <c r="AB14" s="489">
        <f>IF(C14&lt;&gt;"",AND(E14="Nữ",L14="Người dân tộc thiểu số"),"")</f>
        <v/>
      </c>
      <c r="AC14" s="489">
        <f>IF(C14&lt;&gt;"",L14="Người dân tộc thiểu số","")</f>
        <v/>
      </c>
      <c r="AD14" s="490">
        <f>IF(C14&lt;&gt;"",'THỐNG KÊ'!$E$5-'Thông tin HV'!D14&lt;31,"")</f>
        <v/>
      </c>
      <c r="AE14" s="489">
        <f>IF(C14&lt;&gt;"",AND(AC14,AD14),"")</f>
        <v/>
      </c>
      <c r="AF14" s="489">
        <f>IF(C14&lt;&gt;"",(K14&gt;=9),"")</f>
        <v/>
      </c>
      <c r="AG14" s="489">
        <f>IF(C14&lt;&gt;"",AND(AF14,E14="Nữ"),"")</f>
        <v/>
      </c>
      <c r="AH14" s="489">
        <f>IF(C14&lt;&gt;"",AND(AF14,AC14),"")</f>
        <v/>
      </c>
      <c r="AI14" s="489">
        <f>IF(C14&lt;&gt;"",'THỐNG KÊ'!$E$5-'Thông tin HV'!D14&lt;26,"")</f>
        <v/>
      </c>
      <c r="AJ14" s="489">
        <f>IF(C14&lt;&gt;"",AND(AI14,E14="Nữ"),"")</f>
        <v/>
      </c>
      <c r="AK14" s="489">
        <f>IF(C14&lt;&gt;"",AND(AI14,AC14),"")</f>
        <v/>
      </c>
      <c r="AL14" s="489">
        <f>IF(C14&lt;&gt;"",AND('THỐNG KÊ'!$E$5-'Thông tin HV'!D14&gt;=26,'THỐNG KÊ'!$E$5-'Thông tin HV'!D14&lt;=45),"")</f>
        <v/>
      </c>
      <c r="AM14" s="489">
        <f>IF(C14&lt;&gt;"",AND(AL14,E14="Nữ"),"")</f>
        <v/>
      </c>
      <c r="AN14" s="489">
        <f>IF(C14&lt;&gt;"",AND(AL14,AC14),"")</f>
        <v/>
      </c>
      <c r="AO14" s="489">
        <f>IF(C14&lt;&gt;"",'THỐNG KÊ'!$E$5-'Thông tin HV'!D14&gt;45,"")</f>
        <v/>
      </c>
      <c r="AP14" s="489">
        <f>IF(C14&lt;&gt;"",AND(AO14,E14="Nữ"),"")</f>
        <v/>
      </c>
      <c r="AQ14" s="489">
        <f>IF(C14&lt;&gt;"",AND(AO14,AC14),"")</f>
        <v/>
      </c>
      <c r="AR14" s="489">
        <f>IF(C14&lt;&gt;"",AND(Z14="x",E14="Nữ"),"")</f>
        <v/>
      </c>
      <c r="AS14" s="489">
        <f>IF(C14&lt;&gt;"",AND(Z14="x",E14="Nữ",L14="Người dân tộc thiểu số"),"")</f>
        <v/>
      </c>
      <c r="AT14" s="489">
        <f>IF(C14&lt;&gt;"",AND(Z14="x",L14="Người dân tộc thiểu số"),"")</f>
        <v/>
      </c>
      <c r="AU14" s="490">
        <f>IF(C14&lt;&gt;"",AND(Z14="x",'THỐNG KÊ'!$E$5-'Thông tin HV'!D14&lt;31),"")</f>
        <v/>
      </c>
      <c r="AV14" s="489">
        <f>IF(C14&lt;&gt;"",AND(Z14="x",AC14,AD14),"")</f>
        <v/>
      </c>
      <c r="AW14" s="489">
        <f>IF(C14&lt;&gt;"",AND(K14&gt;=9,Z14="x"),"")</f>
        <v/>
      </c>
      <c r="AX14" s="489">
        <f>IF(C14&lt;&gt;"",AND(Z14="x",AI14,E14="Nữ"),"")</f>
        <v/>
      </c>
      <c r="AY14" s="489">
        <f>IF(C14&lt;&gt;"",AND(Z14="x",AF14,AC14),"")</f>
        <v/>
      </c>
      <c r="AZ14" s="489">
        <f>IF(C14&lt;&gt;"",AND(Z14="x",'THỐNG KÊ'!$E$5-'Thông tin HV'!D14&lt;26),"")</f>
        <v/>
      </c>
      <c r="BA14" s="489">
        <f>IF(C14&lt;&gt;"",AND(Z14="x",AI14,E14="Nữ"),"")</f>
        <v/>
      </c>
      <c r="BB14" s="489">
        <f>IF(C14&lt;&gt;"",AND(Z14="x",AI14,AC14),"")</f>
        <v/>
      </c>
      <c r="BC14" s="489">
        <f>IF(C14&lt;&gt;"",AND(Z14="x",'THỐNG KÊ'!$E$5-'Thông tin HV'!D14&gt;=26,'THỐNG KÊ'!$E$5-'Thông tin HV'!D14&lt;=45),"")</f>
        <v/>
      </c>
      <c r="BD14" s="489">
        <f>IF(C14&lt;&gt;"",AND(Z14="x",AL14,E14="Nữ"),"")</f>
        <v/>
      </c>
      <c r="BE14" s="489">
        <f>IF(C14&lt;&gt;"",AND(Z14="x",AL14,AC14),"")</f>
        <v/>
      </c>
      <c r="BF14" s="489">
        <f>IF(C14&lt;&gt;"",AND(Z14="x",'THỐNG KÊ'!$E$5-'Thông tin HV'!D14&gt;45),"")</f>
        <v/>
      </c>
      <c r="BG14" s="489">
        <f>IF(C14&lt;&gt;"",AND(Z14="x",AO14,E14="Nữ"),"")</f>
        <v/>
      </c>
      <c r="BH14" s="489">
        <f>IF(C14&lt;&gt;"",AND(Z14="x",AO14,AC14),"")</f>
        <v/>
      </c>
    </row>
    <row r="15" ht="24" customFormat="1" customHeight="1" s="474">
      <c r="A15" s="475" t="inlineStr">
        <is>
          <t>12</t>
        </is>
      </c>
      <c r="B15" s="475" t="n"/>
      <c r="C15" s="476" t="inlineStr">
        <is>
          <t>A Lung</t>
        </is>
      </c>
      <c r="D15" s="477" t="n">
        <v>30386</v>
      </c>
      <c r="E15" s="478" t="inlineStr">
        <is>
          <t>Nam</t>
        </is>
      </c>
      <c r="F15" s="479" t="n"/>
      <c r="G15" s="480" t="inlineStr">
        <is>
          <t>Xê Đăng</t>
        </is>
      </c>
      <c r="H15" s="478" t="n"/>
      <c r="I15" s="481">
        <f>IF(AA15="","",IF(AA15&lt;=30,"X",""))</f>
        <v/>
      </c>
      <c r="J15" s="481">
        <f>IF(AND(I15="X",G15&lt;&gt;"Kinh"),"X","")</f>
        <v/>
      </c>
      <c r="K15" s="482" t="n">
        <v>9</v>
      </c>
      <c r="L15" s="483" t="inlineStr">
        <is>
          <t>Người dân tộc thiểu số</t>
        </is>
      </c>
      <c r="M15" s="484">
        <f>VLOOKUP(L15,IDs!$H$3:$I$12,2,0)</f>
        <v/>
      </c>
      <c r="N15" s="485" t="inlineStr">
        <is>
          <t>Thôn ĐăkTrăm, xã Kon Đào, Quảng Ngãi</t>
        </is>
      </c>
      <c r="O15" s="485" t="inlineStr">
        <is>
          <t>Thôn ĐăkTrăm, xã Kon Đào, Quảng Ngãi</t>
        </is>
      </c>
      <c r="P15" s="485" t="inlineStr">
        <is>
          <t>Thôn ĐăkTrăm, xã Kon Đào, Quảng Ngãi</t>
        </is>
      </c>
      <c r="Q15" s="485" t="n"/>
      <c r="R15" s="486" t="n"/>
      <c r="S15" s="486" t="n"/>
      <c r="T15" s="486" t="n"/>
      <c r="U15" s="486" t="n"/>
      <c r="V15" s="486" t="n"/>
      <c r="W15" s="486" t="n"/>
      <c r="X15" s="487">
        <f>IF(D15="","",IF(YEAR(TODAY())-D15&lt;15,"Không đủ tuổi theo học",IF(AND(E15="Nam",YEAR(TODAY())-D15&gt;60),"Quá tuổi theo học",IF(AND(E15="Nữ",YEAR(TODAY())-D15&gt;55),"Quá tuổi theo học","Đảm bảo"))))</f>
        <v/>
      </c>
      <c r="Y15" s="487">
        <f>IF(C15="","",IF(OR(LEFT(C15,1)="Y",LEFT(C15,1)="A"),"",IF(L15&lt;&gt;"Đối tượng lao động nông thôn khác","Cần hồ sơ chứng minh nhóm đối tượng","")))</f>
        <v/>
      </c>
      <c r="Z15" s="488" t="n"/>
      <c r="AA15" s="481">
        <f>IF(OR(D15="",'KHÓA HỌC'!$D$8=""),"",DATEDIF(D15,'KHÓA HỌC'!$D$8,"y"))</f>
        <v/>
      </c>
      <c r="AB15" s="489">
        <f>IF(C15&lt;&gt;"",AND(E15="Nữ",L15="Người dân tộc thiểu số"),"")</f>
        <v/>
      </c>
      <c r="AC15" s="489">
        <f>IF(C15&lt;&gt;"",L15="Người dân tộc thiểu số","")</f>
        <v/>
      </c>
      <c r="AD15" s="490">
        <f>IF(C15&lt;&gt;"",'THỐNG KÊ'!$E$5-'Thông tin HV'!D15&lt;31,"")</f>
        <v/>
      </c>
      <c r="AE15" s="489">
        <f>IF(C15&lt;&gt;"",AND(AC15,AD15),"")</f>
        <v/>
      </c>
      <c r="AF15" s="489">
        <f>IF(C15&lt;&gt;"",(K15&gt;=9),"")</f>
        <v/>
      </c>
      <c r="AG15" s="489">
        <f>IF(C15&lt;&gt;"",AND(AF15,E15="Nữ"),"")</f>
        <v/>
      </c>
      <c r="AH15" s="489">
        <f>IF(C15&lt;&gt;"",AND(AF15,AC15),"")</f>
        <v/>
      </c>
      <c r="AI15" s="489">
        <f>IF(C15&lt;&gt;"",'THỐNG KÊ'!$E$5-'Thông tin HV'!D15&lt;26,"")</f>
        <v/>
      </c>
      <c r="AJ15" s="489">
        <f>IF(C15&lt;&gt;"",AND(AI15,E15="Nữ"),"")</f>
        <v/>
      </c>
      <c r="AK15" s="489">
        <f>IF(C15&lt;&gt;"",AND(AI15,AC15),"")</f>
        <v/>
      </c>
      <c r="AL15" s="489">
        <f>IF(C15&lt;&gt;"",AND('THỐNG KÊ'!$E$5-'Thông tin HV'!D15&gt;=26,'THỐNG KÊ'!$E$5-'Thông tin HV'!D15&lt;=45),"")</f>
        <v/>
      </c>
      <c r="AM15" s="489">
        <f>IF(C15&lt;&gt;"",AND(AL15,E15="Nữ"),"")</f>
        <v/>
      </c>
      <c r="AN15" s="489">
        <f>IF(C15&lt;&gt;"",AND(AL15,AC15),"")</f>
        <v/>
      </c>
      <c r="AO15" s="489">
        <f>IF(C15&lt;&gt;"",'THỐNG KÊ'!$E$5-'Thông tin HV'!D15&gt;45,"")</f>
        <v/>
      </c>
      <c r="AP15" s="489">
        <f>IF(C15&lt;&gt;"",AND(AO15,E15="Nữ"),"")</f>
        <v/>
      </c>
      <c r="AQ15" s="489">
        <f>IF(C15&lt;&gt;"",AND(AO15,AC15),"")</f>
        <v/>
      </c>
      <c r="AR15" s="489">
        <f>IF(C15&lt;&gt;"",AND(Z15="x",E15="Nữ"),"")</f>
        <v/>
      </c>
      <c r="AS15" s="489">
        <f>IF(C15&lt;&gt;"",AND(Z15="x",E15="Nữ",L15="Người dân tộc thiểu số"),"")</f>
        <v/>
      </c>
      <c r="AT15" s="489">
        <f>IF(C15&lt;&gt;"",AND(Z15="x",L15="Người dân tộc thiểu số"),"")</f>
        <v/>
      </c>
      <c r="AU15" s="490">
        <f>IF(C15&lt;&gt;"",AND(Z15="x",'THỐNG KÊ'!$E$5-'Thông tin HV'!D15&lt;31),"")</f>
        <v/>
      </c>
      <c r="AV15" s="489">
        <f>IF(C15&lt;&gt;"",AND(Z15="x",AC15,AD15),"")</f>
        <v/>
      </c>
      <c r="AW15" s="489">
        <f>IF(C15&lt;&gt;"",AND(K15&gt;=9,Z15="x"),"")</f>
        <v/>
      </c>
      <c r="AX15" s="489">
        <f>IF(C15&lt;&gt;"",AND(Z15="x",AI15,E15="Nữ"),"")</f>
        <v/>
      </c>
      <c r="AY15" s="489">
        <f>IF(C15&lt;&gt;"",AND(Z15="x",AF15,AC15),"")</f>
        <v/>
      </c>
      <c r="AZ15" s="489">
        <f>IF(C15&lt;&gt;"",AND(Z15="x",'THỐNG KÊ'!$E$5-'Thông tin HV'!D15&lt;26),"")</f>
        <v/>
      </c>
      <c r="BA15" s="489">
        <f>IF(C15&lt;&gt;"",AND(Z15="x",AI15,E15="Nữ"),"")</f>
        <v/>
      </c>
      <c r="BB15" s="489">
        <f>IF(C15&lt;&gt;"",AND(Z15="x",AI15,AC15),"")</f>
        <v/>
      </c>
      <c r="BC15" s="489">
        <f>IF(C15&lt;&gt;"",AND(Z15="x",'THỐNG KÊ'!$E$5-'Thông tin HV'!D15&gt;=26,'THỐNG KÊ'!$E$5-'Thông tin HV'!D15&lt;=45),"")</f>
        <v/>
      </c>
      <c r="BD15" s="489">
        <f>IF(C15&lt;&gt;"",AND(Z15="x",AL15,E15="Nữ"),"")</f>
        <v/>
      </c>
      <c r="BE15" s="489">
        <f>IF(C15&lt;&gt;"",AND(Z15="x",AL15,AC15),"")</f>
        <v/>
      </c>
      <c r="BF15" s="489">
        <f>IF(C15&lt;&gt;"",AND(Z15="x",'THỐNG KÊ'!$E$5-'Thông tin HV'!D15&gt;45),"")</f>
        <v/>
      </c>
      <c r="BG15" s="489">
        <f>IF(C15&lt;&gt;"",AND(Z15="x",AO15,E15="Nữ"),"")</f>
        <v/>
      </c>
      <c r="BH15" s="489">
        <f>IF(C15&lt;&gt;"",AND(Z15="x",AO15,AC15),"")</f>
        <v/>
      </c>
    </row>
    <row r="16" ht="24" customFormat="1" customHeight="1" s="474">
      <c r="A16" s="475" t="inlineStr">
        <is>
          <t>13</t>
        </is>
      </c>
      <c r="B16" s="475" t="n"/>
      <c r="C16" s="476" t="inlineStr">
        <is>
          <t>A Luật</t>
        </is>
      </c>
      <c r="D16" s="477" t="n">
        <v>30386</v>
      </c>
      <c r="E16" s="478" t="inlineStr">
        <is>
          <t>Nam</t>
        </is>
      </c>
      <c r="F16" s="479" t="n"/>
      <c r="G16" s="480" t="inlineStr">
        <is>
          <t>Xê Đăng</t>
        </is>
      </c>
      <c r="H16" s="478" t="n"/>
      <c r="I16" s="481">
        <f>IF(AA16="","",IF(AA16&lt;=30,"X",""))</f>
        <v/>
      </c>
      <c r="J16" s="481">
        <f>IF(AND(I16="X",G16&lt;&gt;"Kinh"),"X","")</f>
        <v/>
      </c>
      <c r="K16" s="482" t="n">
        <v>9</v>
      </c>
      <c r="L16" s="483" t="inlineStr">
        <is>
          <t>Người dân tộc thiểu số</t>
        </is>
      </c>
      <c r="M16" s="484">
        <f>VLOOKUP(L16,IDs!$H$3:$I$12,2,0)</f>
        <v/>
      </c>
      <c r="N16" s="485" t="inlineStr">
        <is>
          <t>Thôn ĐăkTrăm, xã Kon Đào, Quảng Ngãi</t>
        </is>
      </c>
      <c r="O16" s="485" t="inlineStr">
        <is>
          <t>Thôn ĐăkTrăm, xã Kon Đào, Quảng Ngãi</t>
        </is>
      </c>
      <c r="P16" s="485" t="inlineStr">
        <is>
          <t>Thôn ĐăkTrăm, xã Kon Đào, Quảng Ngãi</t>
        </is>
      </c>
      <c r="Q16" s="485" t="n"/>
      <c r="R16" s="486" t="n"/>
      <c r="S16" s="486" t="n"/>
      <c r="T16" s="486" t="n"/>
      <c r="U16" s="486" t="n"/>
      <c r="V16" s="486" t="n"/>
      <c r="W16" s="486" t="n"/>
      <c r="X16" s="487">
        <f>IF(D16="","",IF(YEAR(TODAY())-D16&lt;15,"Không đủ tuổi theo học",IF(AND(E16="Nam",YEAR(TODAY())-D16&gt;60),"Quá tuổi theo học",IF(AND(E16="Nữ",YEAR(TODAY())-D16&gt;55),"Quá tuổi theo học","Đảm bảo"))))</f>
        <v/>
      </c>
      <c r="Y16" s="487">
        <f>IF(C16="","",IF(OR(LEFT(C16,1)="Y",LEFT(C16,1)="A"),"",IF(L16&lt;&gt;"Đối tượng lao động nông thôn khác","Cần hồ sơ chứng minh nhóm đối tượng","")))</f>
        <v/>
      </c>
      <c r="Z16" s="488" t="n"/>
      <c r="AA16" s="481">
        <f>IF(OR(D16="",'KHÓA HỌC'!$D$8=""),"",DATEDIF(D16,'KHÓA HỌC'!$D$8,"y"))</f>
        <v/>
      </c>
      <c r="AB16" s="489">
        <f>IF(C16&lt;&gt;"",AND(E16="Nữ",L16="Người dân tộc thiểu số"),"")</f>
        <v/>
      </c>
      <c r="AC16" s="489">
        <f>IF(C16&lt;&gt;"",L16="Người dân tộc thiểu số","")</f>
        <v/>
      </c>
      <c r="AD16" s="490">
        <f>IF(C16&lt;&gt;"",'THỐNG KÊ'!$E$5-'Thông tin HV'!D16&lt;31,"")</f>
        <v/>
      </c>
      <c r="AE16" s="489">
        <f>IF(C16&lt;&gt;"",AND(AC16,AD16),"")</f>
        <v/>
      </c>
      <c r="AF16" s="489">
        <f>IF(C16&lt;&gt;"",(K16&gt;=9),"")</f>
        <v/>
      </c>
      <c r="AG16" s="489">
        <f>IF(C16&lt;&gt;"",AND(AF16,E16="Nữ"),"")</f>
        <v/>
      </c>
      <c r="AH16" s="489">
        <f>IF(C16&lt;&gt;"",AND(AF16,AC16),"")</f>
        <v/>
      </c>
      <c r="AI16" s="489">
        <f>IF(C16&lt;&gt;"",'THỐNG KÊ'!$E$5-'Thông tin HV'!D16&lt;26,"")</f>
        <v/>
      </c>
      <c r="AJ16" s="489">
        <f>IF(C16&lt;&gt;"",AND(AI16,E16="Nữ"),"")</f>
        <v/>
      </c>
      <c r="AK16" s="489">
        <f>IF(C16&lt;&gt;"",AND(AI16,AC16),"")</f>
        <v/>
      </c>
      <c r="AL16" s="489">
        <f>IF(C16&lt;&gt;"",AND('THỐNG KÊ'!$E$5-'Thông tin HV'!D16&gt;=26,'THỐNG KÊ'!$E$5-'Thông tin HV'!D16&lt;=45),"")</f>
        <v/>
      </c>
      <c r="AM16" s="489">
        <f>IF(C16&lt;&gt;"",AND(AL16,E16="Nữ"),"")</f>
        <v/>
      </c>
      <c r="AN16" s="489">
        <f>IF(C16&lt;&gt;"",AND(AL16,AC16),"")</f>
        <v/>
      </c>
      <c r="AO16" s="489">
        <f>IF(C16&lt;&gt;"",'THỐNG KÊ'!$E$5-'Thông tin HV'!D16&gt;45,"")</f>
        <v/>
      </c>
      <c r="AP16" s="489">
        <f>IF(C16&lt;&gt;"",AND(AO16,E16="Nữ"),"")</f>
        <v/>
      </c>
      <c r="AQ16" s="489">
        <f>IF(C16&lt;&gt;"",AND(AO16,AC16),"")</f>
        <v/>
      </c>
      <c r="AR16" s="489">
        <f>IF(C16&lt;&gt;"",AND(Z16="x",E16="Nữ"),"")</f>
        <v/>
      </c>
      <c r="AS16" s="489">
        <f>IF(C16&lt;&gt;"",AND(Z16="x",E16="Nữ",L16="Người dân tộc thiểu số"),"")</f>
        <v/>
      </c>
      <c r="AT16" s="489">
        <f>IF(C16&lt;&gt;"",AND(Z16="x",L16="Người dân tộc thiểu số"),"")</f>
        <v/>
      </c>
      <c r="AU16" s="490">
        <f>IF(C16&lt;&gt;"",AND(Z16="x",'THỐNG KÊ'!$E$5-'Thông tin HV'!D16&lt;31),"")</f>
        <v/>
      </c>
      <c r="AV16" s="489">
        <f>IF(C16&lt;&gt;"",AND(Z16="x",AC16,AD16),"")</f>
        <v/>
      </c>
      <c r="AW16" s="489">
        <f>IF(C16&lt;&gt;"",AND(K16&gt;=9,Z16="x"),"")</f>
        <v/>
      </c>
      <c r="AX16" s="489">
        <f>IF(C16&lt;&gt;"",AND(Z16="x",AI16,E16="Nữ"),"")</f>
        <v/>
      </c>
      <c r="AY16" s="489">
        <f>IF(C16&lt;&gt;"",AND(Z16="x",AF16,AC16),"")</f>
        <v/>
      </c>
      <c r="AZ16" s="489">
        <f>IF(C16&lt;&gt;"",AND(Z16="x",'THỐNG KÊ'!$E$5-'Thông tin HV'!D16&lt;26),"")</f>
        <v/>
      </c>
      <c r="BA16" s="489">
        <f>IF(C16&lt;&gt;"",AND(Z16="x",AI16,E16="Nữ"),"")</f>
        <v/>
      </c>
      <c r="BB16" s="489">
        <f>IF(C16&lt;&gt;"",AND(Z16="x",AI16,AC16),"")</f>
        <v/>
      </c>
      <c r="BC16" s="489">
        <f>IF(C16&lt;&gt;"",AND(Z16="x",'THỐNG KÊ'!$E$5-'Thông tin HV'!D16&gt;=26,'THỐNG KÊ'!$E$5-'Thông tin HV'!D16&lt;=45),"")</f>
        <v/>
      </c>
      <c r="BD16" s="489">
        <f>IF(C16&lt;&gt;"",AND(Z16="x",AL16,E16="Nữ"),"")</f>
        <v/>
      </c>
      <c r="BE16" s="489">
        <f>IF(C16&lt;&gt;"",AND(Z16="x",AL16,AC16),"")</f>
        <v/>
      </c>
      <c r="BF16" s="489">
        <f>IF(C16&lt;&gt;"",AND(Z16="x",'THỐNG KÊ'!$E$5-'Thông tin HV'!D16&gt;45),"")</f>
        <v/>
      </c>
      <c r="BG16" s="489">
        <f>IF(C16&lt;&gt;"",AND(Z16="x",AO16,E16="Nữ"),"")</f>
        <v/>
      </c>
      <c r="BH16" s="489">
        <f>IF(C16&lt;&gt;"",AND(Z16="x",AO16,AC16),"")</f>
        <v/>
      </c>
    </row>
    <row r="17" ht="24" customFormat="1" customHeight="1" s="474">
      <c r="A17" s="475" t="inlineStr">
        <is>
          <t>14</t>
        </is>
      </c>
      <c r="B17" s="475" t="n"/>
      <c r="C17" s="476" t="inlineStr">
        <is>
          <t>A Phà</t>
        </is>
      </c>
      <c r="D17" s="477" t="n">
        <v>30386</v>
      </c>
      <c r="E17" s="478" t="inlineStr">
        <is>
          <t>Nam</t>
        </is>
      </c>
      <c r="F17" s="479" t="n"/>
      <c r="G17" s="480" t="inlineStr">
        <is>
          <t>Xê Đăng</t>
        </is>
      </c>
      <c r="H17" s="478" t="n"/>
      <c r="I17" s="481">
        <f>IF(AA17="","",IF(AA17&lt;=30,"X",""))</f>
        <v/>
      </c>
      <c r="J17" s="481">
        <f>IF(AND(I17="X",G17&lt;&gt;"Kinh"),"X","")</f>
        <v/>
      </c>
      <c r="K17" s="482" t="n">
        <v>9</v>
      </c>
      <c r="L17" s="483" t="inlineStr">
        <is>
          <t>Người dân tộc thiểu số</t>
        </is>
      </c>
      <c r="M17" s="484">
        <f>VLOOKUP(L17,IDs!$H$3:$I$12,2,0)</f>
        <v/>
      </c>
      <c r="N17" s="485" t="inlineStr">
        <is>
          <t>Thôn ĐăkTrăm, xã Kon Đào, Quảng Ngãi</t>
        </is>
      </c>
      <c r="O17" s="485" t="inlineStr">
        <is>
          <t>Thôn ĐăkTrăm, xã Kon Đào, Quảng Ngãi</t>
        </is>
      </c>
      <c r="P17" s="485" t="inlineStr">
        <is>
          <t>Thôn ĐăkTrăm, xã Kon Đào, Quảng Ngãi</t>
        </is>
      </c>
      <c r="Q17" s="485" t="n"/>
      <c r="R17" s="486" t="n"/>
      <c r="S17" s="486" t="n"/>
      <c r="T17" s="486" t="n"/>
      <c r="U17" s="486" t="n"/>
      <c r="V17" s="486" t="n"/>
      <c r="W17" s="486" t="n"/>
      <c r="X17" s="487">
        <f>IF(D17="","",IF(YEAR(TODAY())-D17&lt;15,"Không đủ tuổi theo học",IF(AND(E17="Nam",YEAR(TODAY())-D17&gt;60),"Quá tuổi theo học",IF(AND(E17="Nữ",YEAR(TODAY())-D17&gt;55),"Quá tuổi theo học","Đảm bảo"))))</f>
        <v/>
      </c>
      <c r="Y17" s="487">
        <f>IF(C17="","",IF(OR(LEFT(C17,1)="Y",LEFT(C17,1)="A"),"",IF(L17&lt;&gt;"Đối tượng lao động nông thôn khác","Cần hồ sơ chứng minh nhóm đối tượng","")))</f>
        <v/>
      </c>
      <c r="Z17" s="488" t="n"/>
      <c r="AA17" s="481">
        <f>IF(OR(D17="",'KHÓA HỌC'!$D$8=""),"",DATEDIF(D17,'KHÓA HỌC'!$D$8,"y"))</f>
        <v/>
      </c>
      <c r="AB17" s="489">
        <f>IF(C17&lt;&gt;"",AND(E17="Nữ",L17="Người dân tộc thiểu số"),"")</f>
        <v/>
      </c>
      <c r="AC17" s="489">
        <f>IF(C17&lt;&gt;"",L17="Người dân tộc thiểu số","")</f>
        <v/>
      </c>
      <c r="AD17" s="490">
        <f>IF(C17&lt;&gt;"",'THỐNG KÊ'!$E$5-'Thông tin HV'!D17&lt;31,"")</f>
        <v/>
      </c>
      <c r="AE17" s="489">
        <f>IF(C17&lt;&gt;"",AND(AC17,AD17),"")</f>
        <v/>
      </c>
      <c r="AF17" s="489">
        <f>IF(C17&lt;&gt;"",(K17&gt;=9),"")</f>
        <v/>
      </c>
      <c r="AG17" s="489">
        <f>IF(C17&lt;&gt;"",AND(AF17,E17="Nữ"),"")</f>
        <v/>
      </c>
      <c r="AH17" s="489">
        <f>IF(C17&lt;&gt;"",AND(AF17,AC17),"")</f>
        <v/>
      </c>
      <c r="AI17" s="489">
        <f>IF(C17&lt;&gt;"",'THỐNG KÊ'!$E$5-'Thông tin HV'!D17&lt;26,"")</f>
        <v/>
      </c>
      <c r="AJ17" s="489">
        <f>IF(C17&lt;&gt;"",AND(AI17,E17="Nữ"),"")</f>
        <v/>
      </c>
      <c r="AK17" s="489">
        <f>IF(C17&lt;&gt;"",AND(AI17,AC17),"")</f>
        <v/>
      </c>
      <c r="AL17" s="489">
        <f>IF(C17&lt;&gt;"",AND('THỐNG KÊ'!$E$5-'Thông tin HV'!D17&gt;=26,'THỐNG KÊ'!$E$5-'Thông tin HV'!D17&lt;=45),"")</f>
        <v/>
      </c>
      <c r="AM17" s="489">
        <f>IF(C17&lt;&gt;"",AND(AL17,E17="Nữ"),"")</f>
        <v/>
      </c>
      <c r="AN17" s="489">
        <f>IF(C17&lt;&gt;"",AND(AL17,AC17),"")</f>
        <v/>
      </c>
      <c r="AO17" s="489">
        <f>IF(C17&lt;&gt;"",'THỐNG KÊ'!$E$5-'Thông tin HV'!D17&gt;45,"")</f>
        <v/>
      </c>
      <c r="AP17" s="489">
        <f>IF(C17&lt;&gt;"",AND(AO17,E17="Nữ"),"")</f>
        <v/>
      </c>
      <c r="AQ17" s="489">
        <f>IF(C17&lt;&gt;"",AND(AO17,AC17),"")</f>
        <v/>
      </c>
      <c r="AR17" s="489">
        <f>IF(C17&lt;&gt;"",AND(Z17="x",E17="Nữ"),"")</f>
        <v/>
      </c>
      <c r="AS17" s="489">
        <f>IF(C17&lt;&gt;"",AND(Z17="x",E17="Nữ",L17="Người dân tộc thiểu số"),"")</f>
        <v/>
      </c>
      <c r="AT17" s="489">
        <f>IF(C17&lt;&gt;"",AND(Z17="x",L17="Người dân tộc thiểu số"),"")</f>
        <v/>
      </c>
      <c r="AU17" s="490">
        <f>IF(C17&lt;&gt;"",AND(Z17="x",'THỐNG KÊ'!$E$5-'Thông tin HV'!D17&lt;31),"")</f>
        <v/>
      </c>
      <c r="AV17" s="489">
        <f>IF(C17&lt;&gt;"",AND(Z17="x",AC17,AD17),"")</f>
        <v/>
      </c>
      <c r="AW17" s="489">
        <f>IF(C17&lt;&gt;"",AND(K17&gt;=9,Z17="x"),"")</f>
        <v/>
      </c>
      <c r="AX17" s="489">
        <f>IF(C17&lt;&gt;"",AND(Z17="x",AI17,E17="Nữ"),"")</f>
        <v/>
      </c>
      <c r="AY17" s="489">
        <f>IF(C17&lt;&gt;"",AND(Z17="x",AF17,AC17),"")</f>
        <v/>
      </c>
      <c r="AZ17" s="489">
        <f>IF(C17&lt;&gt;"",AND(Z17="x",'THỐNG KÊ'!$E$5-'Thông tin HV'!D17&lt;26),"")</f>
        <v/>
      </c>
      <c r="BA17" s="489">
        <f>IF(C17&lt;&gt;"",AND(Z17="x",AI17,E17="Nữ"),"")</f>
        <v/>
      </c>
      <c r="BB17" s="489">
        <f>IF(C17&lt;&gt;"",AND(Z17="x",AI17,AC17),"")</f>
        <v/>
      </c>
      <c r="BC17" s="489">
        <f>IF(C17&lt;&gt;"",AND(Z17="x",'THỐNG KÊ'!$E$5-'Thông tin HV'!D17&gt;=26,'THỐNG KÊ'!$E$5-'Thông tin HV'!D17&lt;=45),"")</f>
        <v/>
      </c>
      <c r="BD17" s="489">
        <f>IF(C17&lt;&gt;"",AND(Z17="x",AL17,E17="Nữ"),"")</f>
        <v/>
      </c>
      <c r="BE17" s="489">
        <f>IF(C17&lt;&gt;"",AND(Z17="x",AL17,AC17),"")</f>
        <v/>
      </c>
      <c r="BF17" s="489">
        <f>IF(C17&lt;&gt;"",AND(Z17="x",'THỐNG KÊ'!$E$5-'Thông tin HV'!D17&gt;45),"")</f>
        <v/>
      </c>
      <c r="BG17" s="489">
        <f>IF(C17&lt;&gt;"",AND(Z17="x",AO17,E17="Nữ"),"")</f>
        <v/>
      </c>
      <c r="BH17" s="489">
        <f>IF(C17&lt;&gt;"",AND(Z17="x",AO17,AC17),"")</f>
        <v/>
      </c>
    </row>
    <row r="18" ht="24" customFormat="1" customHeight="1" s="474">
      <c r="A18" s="475" t="inlineStr">
        <is>
          <t>15</t>
        </is>
      </c>
      <c r="B18" s="475" t="n"/>
      <c r="C18" s="476" t="inlineStr">
        <is>
          <t>A Chiêr</t>
        </is>
      </c>
      <c r="D18" s="477" t="n">
        <v>30386</v>
      </c>
      <c r="E18" s="478" t="inlineStr">
        <is>
          <t>Nam</t>
        </is>
      </c>
      <c r="F18" s="479" t="n"/>
      <c r="G18" s="480" t="inlineStr">
        <is>
          <t>Xê Đăng</t>
        </is>
      </c>
      <c r="H18" s="478" t="n"/>
      <c r="I18" s="481">
        <f>IF(AA18="","",IF(AA18&lt;=30,"X",""))</f>
        <v/>
      </c>
      <c r="J18" s="481">
        <f>IF(AND(I18="X",G18&lt;&gt;"Kinh"),"X","")</f>
        <v/>
      </c>
      <c r="K18" s="482" t="n">
        <v>9</v>
      </c>
      <c r="L18" s="483" t="inlineStr">
        <is>
          <t>Người dân tộc thiểu số</t>
        </is>
      </c>
      <c r="M18" s="484">
        <f>VLOOKUP(L18,IDs!$H$3:$I$12,2,0)</f>
        <v/>
      </c>
      <c r="N18" s="485" t="inlineStr">
        <is>
          <t>Thôn ĐăkTrăm, xã Kon Đào, Quảng Ngãi</t>
        </is>
      </c>
      <c r="O18" s="485" t="inlineStr">
        <is>
          <t>Thôn ĐăkTrăm, xã Kon Đào, Quảng Ngãi</t>
        </is>
      </c>
      <c r="P18" s="485" t="inlineStr">
        <is>
          <t>Thôn ĐăkTrăm, xã Kon Đào, Quảng Ngãi</t>
        </is>
      </c>
      <c r="Q18" s="485" t="n"/>
      <c r="R18" s="486" t="n"/>
      <c r="S18" s="486" t="n"/>
      <c r="T18" s="486" t="n"/>
      <c r="U18" s="486" t="n"/>
      <c r="V18" s="486" t="n"/>
      <c r="W18" s="486" t="n"/>
      <c r="X18" s="487">
        <f>IF(D18="","",IF(YEAR(TODAY())-D18&lt;15,"Không đủ tuổi theo học",IF(AND(E18="Nam",YEAR(TODAY())-D18&gt;60),"Quá tuổi theo học",IF(AND(E18="Nữ",YEAR(TODAY())-D18&gt;55),"Quá tuổi theo học","Đảm bảo"))))</f>
        <v/>
      </c>
      <c r="Y18" s="487">
        <f>IF(C18="","",IF(OR(LEFT(C18,1)="Y",LEFT(C18,1)="A"),"",IF(L18&lt;&gt;"Đối tượng lao động nông thôn khác","Cần hồ sơ chứng minh nhóm đối tượng","")))</f>
        <v/>
      </c>
      <c r="Z18" s="488" t="n"/>
      <c r="AA18" s="481">
        <f>IF(OR(D18="",'KHÓA HỌC'!$D$8=""),"",DATEDIF(D18,'KHÓA HỌC'!$D$8,"y"))</f>
        <v/>
      </c>
      <c r="AB18" s="489">
        <f>IF(C18&lt;&gt;"",AND(E18="Nữ",L18="Người dân tộc thiểu số"),"")</f>
        <v/>
      </c>
      <c r="AC18" s="489">
        <f>IF(C18&lt;&gt;"",L18="Người dân tộc thiểu số","")</f>
        <v/>
      </c>
      <c r="AD18" s="490">
        <f>IF(C18&lt;&gt;"",'THỐNG KÊ'!$E$5-'Thông tin HV'!D18&lt;31,"")</f>
        <v/>
      </c>
      <c r="AE18" s="489">
        <f>IF(C18&lt;&gt;"",AND(AC18,AD18),"")</f>
        <v/>
      </c>
      <c r="AF18" s="489">
        <f>IF(C18&lt;&gt;"",(K18&gt;=9),"")</f>
        <v/>
      </c>
      <c r="AG18" s="489">
        <f>IF(C18&lt;&gt;"",AND(AF18,E18="Nữ"),"")</f>
        <v/>
      </c>
      <c r="AH18" s="489">
        <f>IF(C18&lt;&gt;"",AND(AF18,AC18),"")</f>
        <v/>
      </c>
      <c r="AI18" s="489">
        <f>IF(C18&lt;&gt;"",'THỐNG KÊ'!$E$5-'Thông tin HV'!D18&lt;26,"")</f>
        <v/>
      </c>
      <c r="AJ18" s="489">
        <f>IF(C18&lt;&gt;"",AND(AI18,E18="Nữ"),"")</f>
        <v/>
      </c>
      <c r="AK18" s="489">
        <f>IF(C18&lt;&gt;"",AND(AI18,AC18),"")</f>
        <v/>
      </c>
      <c r="AL18" s="489">
        <f>IF(C18&lt;&gt;"",AND('THỐNG KÊ'!$E$5-'Thông tin HV'!D18&gt;=26,'THỐNG KÊ'!$E$5-'Thông tin HV'!D18&lt;=45),"")</f>
        <v/>
      </c>
      <c r="AM18" s="489">
        <f>IF(C18&lt;&gt;"",AND(AL18,E18="Nữ"),"")</f>
        <v/>
      </c>
      <c r="AN18" s="489">
        <f>IF(C18&lt;&gt;"",AND(AL18,AC18),"")</f>
        <v/>
      </c>
      <c r="AO18" s="489">
        <f>IF(C18&lt;&gt;"",'THỐNG KÊ'!$E$5-'Thông tin HV'!D18&gt;45,"")</f>
        <v/>
      </c>
      <c r="AP18" s="489">
        <f>IF(C18&lt;&gt;"",AND(AO18,E18="Nữ"),"")</f>
        <v/>
      </c>
      <c r="AQ18" s="489">
        <f>IF(C18&lt;&gt;"",AND(AO18,AC18),"")</f>
        <v/>
      </c>
      <c r="AR18" s="489">
        <f>IF(C18&lt;&gt;"",AND(Z18="x",E18="Nữ"),"")</f>
        <v/>
      </c>
      <c r="AS18" s="489">
        <f>IF(C18&lt;&gt;"",AND(Z18="x",E18="Nữ",L18="Người dân tộc thiểu số"),"")</f>
        <v/>
      </c>
      <c r="AT18" s="489">
        <f>IF(C18&lt;&gt;"",AND(Z18="x",L18="Người dân tộc thiểu số"),"")</f>
        <v/>
      </c>
      <c r="AU18" s="490">
        <f>IF(C18&lt;&gt;"",AND(Z18="x",'THỐNG KÊ'!$E$5-'Thông tin HV'!D18&lt;31),"")</f>
        <v/>
      </c>
      <c r="AV18" s="489">
        <f>IF(C18&lt;&gt;"",AND(Z18="x",AC18,AD18),"")</f>
        <v/>
      </c>
      <c r="AW18" s="489">
        <f>IF(C18&lt;&gt;"",AND(K18&gt;=9,Z18="x"),"")</f>
        <v/>
      </c>
      <c r="AX18" s="489">
        <f>IF(C18&lt;&gt;"",AND(Z18="x",AI18,E18="Nữ"),"")</f>
        <v/>
      </c>
      <c r="AY18" s="489">
        <f>IF(C18&lt;&gt;"",AND(Z18="x",AF18,AC18),"")</f>
        <v/>
      </c>
      <c r="AZ18" s="489">
        <f>IF(C18&lt;&gt;"",AND(Z18="x",'THỐNG KÊ'!$E$5-'Thông tin HV'!D18&lt;26),"")</f>
        <v/>
      </c>
      <c r="BA18" s="489">
        <f>IF(C18&lt;&gt;"",AND(Z18="x",AI18,E18="Nữ"),"")</f>
        <v/>
      </c>
      <c r="BB18" s="489">
        <f>IF(C18&lt;&gt;"",AND(Z18="x",AI18,AC18),"")</f>
        <v/>
      </c>
      <c r="BC18" s="489">
        <f>IF(C18&lt;&gt;"",AND(Z18="x",'THỐNG KÊ'!$E$5-'Thông tin HV'!D18&gt;=26,'THỐNG KÊ'!$E$5-'Thông tin HV'!D18&lt;=45),"")</f>
        <v/>
      </c>
      <c r="BD18" s="489">
        <f>IF(C18&lt;&gt;"",AND(Z18="x",AL18,E18="Nữ"),"")</f>
        <v/>
      </c>
      <c r="BE18" s="489">
        <f>IF(C18&lt;&gt;"",AND(Z18="x",AL18,AC18),"")</f>
        <v/>
      </c>
      <c r="BF18" s="489">
        <f>IF(C18&lt;&gt;"",AND(Z18="x",'THỐNG KÊ'!$E$5-'Thông tin HV'!D18&gt;45),"")</f>
        <v/>
      </c>
      <c r="BG18" s="489">
        <f>IF(C18&lt;&gt;"",AND(Z18="x",AO18,E18="Nữ"),"")</f>
        <v/>
      </c>
      <c r="BH18" s="489">
        <f>IF(C18&lt;&gt;"",AND(Z18="x",AO18,AC18),"")</f>
        <v/>
      </c>
    </row>
    <row r="19" ht="24" customFormat="1" customHeight="1" s="474">
      <c r="A19" s="475" t="inlineStr">
        <is>
          <t>16</t>
        </is>
      </c>
      <c r="B19" s="475" t="n"/>
      <c r="C19" s="476" t="inlineStr">
        <is>
          <t>A Vương</t>
        </is>
      </c>
      <c r="D19" s="477" t="n">
        <v>30386</v>
      </c>
      <c r="E19" s="478" t="inlineStr">
        <is>
          <t>Nam</t>
        </is>
      </c>
      <c r="F19" s="479" t="n"/>
      <c r="G19" s="480" t="inlineStr">
        <is>
          <t>Xê Đăng</t>
        </is>
      </c>
      <c r="H19" s="478" t="n"/>
      <c r="I19" s="481">
        <f>IF(AA19="","",IF(AA19&lt;=30,"X",""))</f>
        <v/>
      </c>
      <c r="J19" s="481">
        <f>IF(AND(I19="X",G19&lt;&gt;"Kinh"),"X","")</f>
        <v/>
      </c>
      <c r="K19" s="482" t="n">
        <v>9</v>
      </c>
      <c r="L19" s="483" t="inlineStr">
        <is>
          <t>Người dân tộc thiểu số</t>
        </is>
      </c>
      <c r="M19" s="484">
        <f>VLOOKUP(L19,IDs!$H$3:$I$12,2,0)</f>
        <v/>
      </c>
      <c r="N19" s="485" t="inlineStr">
        <is>
          <t>Thôn ĐăkTrăm, xã Kon Đào, Quảng Ngãi</t>
        </is>
      </c>
      <c r="O19" s="485" t="inlineStr">
        <is>
          <t>Thôn ĐăkTrăm, xã Kon Đào, Quảng Ngãi</t>
        </is>
      </c>
      <c r="P19" s="485" t="inlineStr">
        <is>
          <t>Thôn ĐăkTrăm, xã Kon Đào, Quảng Ngãi</t>
        </is>
      </c>
      <c r="Q19" s="485" t="n"/>
      <c r="R19" s="486" t="n"/>
      <c r="S19" s="486" t="n"/>
      <c r="T19" s="486" t="n"/>
      <c r="U19" s="486" t="n"/>
      <c r="V19" s="486" t="n"/>
      <c r="W19" s="486" t="n"/>
      <c r="X19" s="487">
        <f>IF(D19="","",IF(YEAR(TODAY())-D19&lt;15,"Không đủ tuổi theo học",IF(AND(E19="Nam",YEAR(TODAY())-D19&gt;60),"Quá tuổi theo học",IF(AND(E19="Nữ",YEAR(TODAY())-D19&gt;55),"Quá tuổi theo học","Đảm bảo"))))</f>
        <v/>
      </c>
      <c r="Y19" s="487">
        <f>IF(C19="","",IF(OR(LEFT(C19,1)="Y",LEFT(C19,1)="A"),"",IF(L19&lt;&gt;"Đối tượng lao động nông thôn khác","Cần hồ sơ chứng minh nhóm đối tượng","")))</f>
        <v/>
      </c>
      <c r="Z19" s="488" t="n"/>
      <c r="AA19" s="481">
        <f>IF(OR(D19="",'KHÓA HỌC'!$D$8=""),"",DATEDIF(D19,'KHÓA HỌC'!$D$8,"y"))</f>
        <v/>
      </c>
      <c r="AB19" s="489">
        <f>IF(C19&lt;&gt;"",AND(E19="Nữ",L19="Người dân tộc thiểu số"),"")</f>
        <v/>
      </c>
      <c r="AC19" s="489">
        <f>IF(C19&lt;&gt;"",L19="Người dân tộc thiểu số","")</f>
        <v/>
      </c>
      <c r="AD19" s="490">
        <f>IF(C19&lt;&gt;"",'THỐNG KÊ'!$E$5-'Thông tin HV'!D19&lt;31,"")</f>
        <v/>
      </c>
      <c r="AE19" s="489">
        <f>IF(C19&lt;&gt;"",AND(AC19,AD19),"")</f>
        <v/>
      </c>
      <c r="AF19" s="489">
        <f>IF(C19&lt;&gt;"",(K19&gt;=9),"")</f>
        <v/>
      </c>
      <c r="AG19" s="489">
        <f>IF(C19&lt;&gt;"",AND(AF19,E19="Nữ"),"")</f>
        <v/>
      </c>
      <c r="AH19" s="489">
        <f>IF(C19&lt;&gt;"",AND(AF19,AC19),"")</f>
        <v/>
      </c>
      <c r="AI19" s="489">
        <f>IF(C19&lt;&gt;"",'THỐNG KÊ'!$E$5-'Thông tin HV'!D19&lt;26,"")</f>
        <v/>
      </c>
      <c r="AJ19" s="489">
        <f>IF(C19&lt;&gt;"",AND(AI19,E19="Nữ"),"")</f>
        <v/>
      </c>
      <c r="AK19" s="489">
        <f>IF(C19&lt;&gt;"",AND(AI19,AC19),"")</f>
        <v/>
      </c>
      <c r="AL19" s="489">
        <f>IF(C19&lt;&gt;"",AND('THỐNG KÊ'!$E$5-'Thông tin HV'!D19&gt;=26,'THỐNG KÊ'!$E$5-'Thông tin HV'!D19&lt;=45),"")</f>
        <v/>
      </c>
      <c r="AM19" s="489">
        <f>IF(C19&lt;&gt;"",AND(AL19,E19="Nữ"),"")</f>
        <v/>
      </c>
      <c r="AN19" s="489">
        <f>IF(C19&lt;&gt;"",AND(AL19,AC19),"")</f>
        <v/>
      </c>
      <c r="AO19" s="489">
        <f>IF(C19&lt;&gt;"",'THỐNG KÊ'!$E$5-'Thông tin HV'!D19&gt;45,"")</f>
        <v/>
      </c>
      <c r="AP19" s="489">
        <f>IF(C19&lt;&gt;"",AND(AO19,E19="Nữ"),"")</f>
        <v/>
      </c>
      <c r="AQ19" s="489">
        <f>IF(C19&lt;&gt;"",AND(AO19,AC19),"")</f>
        <v/>
      </c>
      <c r="AR19" s="489">
        <f>IF(C19&lt;&gt;"",AND(Z19="x",E19="Nữ"),"")</f>
        <v/>
      </c>
      <c r="AS19" s="489">
        <f>IF(C19&lt;&gt;"",AND(Z19="x",E19="Nữ",L19="Người dân tộc thiểu số"),"")</f>
        <v/>
      </c>
      <c r="AT19" s="489">
        <f>IF(C19&lt;&gt;"",AND(Z19="x",L19="Người dân tộc thiểu số"),"")</f>
        <v/>
      </c>
      <c r="AU19" s="490">
        <f>IF(C19&lt;&gt;"",AND(Z19="x",'THỐNG KÊ'!$E$5-'Thông tin HV'!D19&lt;31),"")</f>
        <v/>
      </c>
      <c r="AV19" s="489">
        <f>IF(C19&lt;&gt;"",AND(Z19="x",AC19,AD19),"")</f>
        <v/>
      </c>
      <c r="AW19" s="489">
        <f>IF(C19&lt;&gt;"",AND(K19&gt;=9,Z19="x"),"")</f>
        <v/>
      </c>
      <c r="AX19" s="489">
        <f>IF(C19&lt;&gt;"",AND(Z19="x",AI19,E19="Nữ"),"")</f>
        <v/>
      </c>
      <c r="AY19" s="489">
        <f>IF(C19&lt;&gt;"",AND(Z19="x",AF19,AC19),"")</f>
        <v/>
      </c>
      <c r="AZ19" s="489">
        <f>IF(C19&lt;&gt;"",AND(Z19="x",'THỐNG KÊ'!$E$5-'Thông tin HV'!D19&lt;26),"")</f>
        <v/>
      </c>
      <c r="BA19" s="489">
        <f>IF(C19&lt;&gt;"",AND(Z19="x",AI19,E19="Nữ"),"")</f>
        <v/>
      </c>
      <c r="BB19" s="489">
        <f>IF(C19&lt;&gt;"",AND(Z19="x",AI19,AC19),"")</f>
        <v/>
      </c>
      <c r="BC19" s="489">
        <f>IF(C19&lt;&gt;"",AND(Z19="x",'THỐNG KÊ'!$E$5-'Thông tin HV'!D19&gt;=26,'THỐNG KÊ'!$E$5-'Thông tin HV'!D19&lt;=45),"")</f>
        <v/>
      </c>
      <c r="BD19" s="489">
        <f>IF(C19&lt;&gt;"",AND(Z19="x",AL19,E19="Nữ"),"")</f>
        <v/>
      </c>
      <c r="BE19" s="489">
        <f>IF(C19&lt;&gt;"",AND(Z19="x",AL19,AC19),"")</f>
        <v/>
      </c>
      <c r="BF19" s="489">
        <f>IF(C19&lt;&gt;"",AND(Z19="x",'THỐNG KÊ'!$E$5-'Thông tin HV'!D19&gt;45),"")</f>
        <v/>
      </c>
      <c r="BG19" s="489">
        <f>IF(C19&lt;&gt;"",AND(Z19="x",AO19,E19="Nữ"),"")</f>
        <v/>
      </c>
      <c r="BH19" s="489">
        <f>IF(C19&lt;&gt;"",AND(Z19="x",AO19,AC19),"")</f>
        <v/>
      </c>
    </row>
    <row r="20" ht="24" customFormat="1" customHeight="1" s="474">
      <c r="A20" s="475" t="inlineStr">
        <is>
          <t>17</t>
        </is>
      </c>
      <c r="B20" s="475" t="n"/>
      <c r="C20" s="476" t="inlineStr">
        <is>
          <t>A Kường</t>
        </is>
      </c>
      <c r="D20" s="477" t="n">
        <v>30386</v>
      </c>
      <c r="E20" s="478" t="inlineStr">
        <is>
          <t>Nam</t>
        </is>
      </c>
      <c r="F20" s="479" t="n"/>
      <c r="G20" s="480" t="inlineStr">
        <is>
          <t>Xê Đăng</t>
        </is>
      </c>
      <c r="H20" s="478" t="n"/>
      <c r="I20" s="481">
        <f>IF(AA20="","",IF(AA20&lt;=30,"X",""))</f>
        <v/>
      </c>
      <c r="J20" s="481">
        <f>IF(AND(I20="X",G20&lt;&gt;"Kinh"),"X","")</f>
        <v/>
      </c>
      <c r="K20" s="482" t="n">
        <v>9</v>
      </c>
      <c r="L20" s="483" t="inlineStr">
        <is>
          <t>Người dân tộc thiểu số</t>
        </is>
      </c>
      <c r="M20" s="484">
        <f>VLOOKUP(L20,IDs!$H$3:$I$12,2,0)</f>
        <v/>
      </c>
      <c r="N20" s="485" t="inlineStr">
        <is>
          <t>Thôn ĐăkTrăm, xã Kon Đào, Quảng Ngãi</t>
        </is>
      </c>
      <c r="O20" s="485" t="inlineStr">
        <is>
          <t>Thôn ĐăkTrăm, xã Kon Đào, Quảng Ngãi</t>
        </is>
      </c>
      <c r="P20" s="485" t="inlineStr">
        <is>
          <t>Thôn ĐăkTrăm, xã Kon Đào, Quảng Ngãi</t>
        </is>
      </c>
      <c r="Q20" s="485" t="n"/>
      <c r="R20" s="486" t="n"/>
      <c r="S20" s="486" t="n"/>
      <c r="T20" s="486" t="n"/>
      <c r="U20" s="486" t="n"/>
      <c r="V20" s="486" t="n"/>
      <c r="W20" s="486" t="n"/>
      <c r="X20" s="487">
        <f>IF(D20="","",IF(YEAR(TODAY())-D20&lt;15,"Không đủ tuổi theo học",IF(AND(E20="Nam",YEAR(TODAY())-D20&gt;60),"Quá tuổi theo học",IF(AND(E20="Nữ",YEAR(TODAY())-D20&gt;55),"Quá tuổi theo học","Đảm bảo"))))</f>
        <v/>
      </c>
      <c r="Y20" s="487">
        <f>IF(C20="","",IF(OR(LEFT(C20,1)="Y",LEFT(C20,1)="A"),"",IF(L20&lt;&gt;"Đối tượng lao động nông thôn khác","Cần hồ sơ chứng minh nhóm đối tượng","")))</f>
        <v/>
      </c>
      <c r="Z20" s="488" t="n"/>
      <c r="AA20" s="481">
        <f>IF(OR(D20="",'KHÓA HỌC'!$D$8=""),"",DATEDIF(D20,'KHÓA HỌC'!$D$8,"y"))</f>
        <v/>
      </c>
      <c r="AB20" s="489">
        <f>IF(C20&lt;&gt;"",AND(E20="Nữ",L20="Người dân tộc thiểu số"),"")</f>
        <v/>
      </c>
      <c r="AC20" s="489">
        <f>IF(C20&lt;&gt;"",L20="Người dân tộc thiểu số","")</f>
        <v/>
      </c>
      <c r="AD20" s="490">
        <f>IF(C20&lt;&gt;"",'THỐNG KÊ'!$E$5-'Thông tin HV'!D20&lt;31,"")</f>
        <v/>
      </c>
      <c r="AE20" s="489">
        <f>IF(C20&lt;&gt;"",AND(AC20,AD20),"")</f>
        <v/>
      </c>
      <c r="AF20" s="489">
        <f>IF(C20&lt;&gt;"",(K20&gt;=9),"")</f>
        <v/>
      </c>
      <c r="AG20" s="489">
        <f>IF(C20&lt;&gt;"",AND(AF20,E20="Nữ"),"")</f>
        <v/>
      </c>
      <c r="AH20" s="489">
        <f>IF(C20&lt;&gt;"",AND(AF20,AC20),"")</f>
        <v/>
      </c>
      <c r="AI20" s="489">
        <f>IF(C20&lt;&gt;"",'THỐNG KÊ'!$E$5-'Thông tin HV'!D20&lt;26,"")</f>
        <v/>
      </c>
      <c r="AJ20" s="489">
        <f>IF(C20&lt;&gt;"",AND(AI20,E20="Nữ"),"")</f>
        <v/>
      </c>
      <c r="AK20" s="489">
        <f>IF(C20&lt;&gt;"",AND(AI20,AC20),"")</f>
        <v/>
      </c>
      <c r="AL20" s="489">
        <f>IF(C20&lt;&gt;"",AND('THỐNG KÊ'!$E$5-'Thông tin HV'!D20&gt;=26,'THỐNG KÊ'!$E$5-'Thông tin HV'!D20&lt;=45),"")</f>
        <v/>
      </c>
      <c r="AM20" s="489">
        <f>IF(C20&lt;&gt;"",AND(AL20,E20="Nữ"),"")</f>
        <v/>
      </c>
      <c r="AN20" s="489">
        <f>IF(C20&lt;&gt;"",AND(AL20,AC20),"")</f>
        <v/>
      </c>
      <c r="AO20" s="489">
        <f>IF(C20&lt;&gt;"",'THỐNG KÊ'!$E$5-'Thông tin HV'!D20&gt;45,"")</f>
        <v/>
      </c>
      <c r="AP20" s="489">
        <f>IF(C20&lt;&gt;"",AND(AO20,E20="Nữ"),"")</f>
        <v/>
      </c>
      <c r="AQ20" s="489">
        <f>IF(C20&lt;&gt;"",AND(AO20,AC20),"")</f>
        <v/>
      </c>
      <c r="AR20" s="489">
        <f>IF(C20&lt;&gt;"",AND(Z20="x",E20="Nữ"),"")</f>
        <v/>
      </c>
      <c r="AS20" s="489">
        <f>IF(C20&lt;&gt;"",AND(Z20="x",E20="Nữ",L20="Người dân tộc thiểu số"),"")</f>
        <v/>
      </c>
      <c r="AT20" s="489">
        <f>IF(C20&lt;&gt;"",AND(Z20="x",L20="Người dân tộc thiểu số"),"")</f>
        <v/>
      </c>
      <c r="AU20" s="490">
        <f>IF(C20&lt;&gt;"",AND(Z20="x",'THỐNG KÊ'!$E$5-'Thông tin HV'!D20&lt;31),"")</f>
        <v/>
      </c>
      <c r="AV20" s="489">
        <f>IF(C20&lt;&gt;"",AND(Z20="x",AC20,AD20),"")</f>
        <v/>
      </c>
      <c r="AW20" s="489">
        <f>IF(C20&lt;&gt;"",AND(K20&gt;=9,Z20="x"),"")</f>
        <v/>
      </c>
      <c r="AX20" s="489">
        <f>IF(C20&lt;&gt;"",AND(Z20="x",AI20,E20="Nữ"),"")</f>
        <v/>
      </c>
      <c r="AY20" s="489">
        <f>IF(C20&lt;&gt;"",AND(Z20="x",AF20,AC20),"")</f>
        <v/>
      </c>
      <c r="AZ20" s="489">
        <f>IF(C20&lt;&gt;"",AND(Z20="x",'THỐNG KÊ'!$E$5-'Thông tin HV'!D20&lt;26),"")</f>
        <v/>
      </c>
      <c r="BA20" s="489">
        <f>IF(C20&lt;&gt;"",AND(Z20="x",AI20,E20="Nữ"),"")</f>
        <v/>
      </c>
      <c r="BB20" s="489">
        <f>IF(C20&lt;&gt;"",AND(Z20="x",AI20,AC20),"")</f>
        <v/>
      </c>
      <c r="BC20" s="489">
        <f>IF(C20&lt;&gt;"",AND(Z20="x",'THỐNG KÊ'!$E$5-'Thông tin HV'!D20&gt;=26,'THỐNG KÊ'!$E$5-'Thông tin HV'!D20&lt;=45),"")</f>
        <v/>
      </c>
      <c r="BD20" s="489">
        <f>IF(C20&lt;&gt;"",AND(Z20="x",AL20,E20="Nữ"),"")</f>
        <v/>
      </c>
      <c r="BE20" s="489">
        <f>IF(C20&lt;&gt;"",AND(Z20="x",AL20,AC20),"")</f>
        <v/>
      </c>
      <c r="BF20" s="489">
        <f>IF(C20&lt;&gt;"",AND(Z20="x",'THỐNG KÊ'!$E$5-'Thông tin HV'!D20&gt;45),"")</f>
        <v/>
      </c>
      <c r="BG20" s="489">
        <f>IF(C20&lt;&gt;"",AND(Z20="x",AO20,E20="Nữ"),"")</f>
        <v/>
      </c>
      <c r="BH20" s="489">
        <f>IF(C20&lt;&gt;"",AND(Z20="x",AO20,AC20),"")</f>
        <v/>
      </c>
    </row>
    <row r="21" ht="24" customFormat="1" customHeight="1" s="474">
      <c r="A21" s="475" t="inlineStr">
        <is>
          <t>18</t>
        </is>
      </c>
      <c r="B21" s="475" t="n"/>
      <c r="C21" s="476" t="inlineStr">
        <is>
          <t>A He</t>
        </is>
      </c>
      <c r="D21" s="477" t="n">
        <v>30386</v>
      </c>
      <c r="E21" s="478" t="inlineStr">
        <is>
          <t>Nam</t>
        </is>
      </c>
      <c r="F21" s="479" t="n"/>
      <c r="G21" s="480" t="inlineStr">
        <is>
          <t>Xê Đăng</t>
        </is>
      </c>
      <c r="H21" s="478" t="n"/>
      <c r="I21" s="481">
        <f>IF(AA21="","",IF(AA21&lt;=30,"X",""))</f>
        <v/>
      </c>
      <c r="J21" s="481">
        <f>IF(AND(I21="X",G21&lt;&gt;"Kinh"),"X","")</f>
        <v/>
      </c>
      <c r="K21" s="482" t="n">
        <v>9</v>
      </c>
      <c r="L21" s="483" t="inlineStr">
        <is>
          <t>Người dân tộc thiểu số</t>
        </is>
      </c>
      <c r="M21" s="484">
        <f>VLOOKUP(L21,IDs!$H$3:$I$12,2,0)</f>
        <v/>
      </c>
      <c r="N21" s="485" t="inlineStr">
        <is>
          <t>Thôn ĐăkTrăm, xã Kon Đào, Quảng Ngãi</t>
        </is>
      </c>
      <c r="O21" s="485" t="inlineStr">
        <is>
          <t>Thôn ĐăkTrăm, xã Kon Đào, Quảng Ngãi</t>
        </is>
      </c>
      <c r="P21" s="485" t="inlineStr">
        <is>
          <t>Thôn ĐăkTrăm, xã Kon Đào, Quảng Ngãi</t>
        </is>
      </c>
      <c r="Q21" s="485" t="n"/>
      <c r="R21" s="486" t="n"/>
      <c r="S21" s="486" t="n"/>
      <c r="T21" s="486" t="n"/>
      <c r="U21" s="486" t="n"/>
      <c r="V21" s="486" t="n"/>
      <c r="W21" s="486" t="n"/>
      <c r="X21" s="487">
        <f>IF(D21="","",IF(YEAR(TODAY())-D21&lt;15,"Không đủ tuổi theo học",IF(AND(E21="Nam",YEAR(TODAY())-D21&gt;60),"Quá tuổi theo học",IF(AND(E21="Nữ",YEAR(TODAY())-D21&gt;55),"Quá tuổi theo học","Đảm bảo"))))</f>
        <v/>
      </c>
      <c r="Y21" s="487">
        <f>IF(C21="","",IF(OR(LEFT(C21,1)="Y",LEFT(C21,1)="A"),"",IF(L21&lt;&gt;"Đối tượng lao động nông thôn khác","Cần hồ sơ chứng minh nhóm đối tượng","")))</f>
        <v/>
      </c>
      <c r="Z21" s="488" t="n"/>
      <c r="AA21" s="481">
        <f>IF(OR(D21="",'KHÓA HỌC'!$D$8=""),"",DATEDIF(D21,'KHÓA HỌC'!$D$8,"y"))</f>
        <v/>
      </c>
      <c r="AB21" s="489">
        <f>IF(C21&lt;&gt;"",AND(E21="Nữ",L21="Người dân tộc thiểu số"),"")</f>
        <v/>
      </c>
      <c r="AC21" s="489">
        <f>IF(C21&lt;&gt;"",L21="Người dân tộc thiểu số","")</f>
        <v/>
      </c>
      <c r="AD21" s="490">
        <f>IF(C21&lt;&gt;"",'THỐNG KÊ'!$E$5-'Thông tin HV'!D21&lt;31,"")</f>
        <v/>
      </c>
      <c r="AE21" s="489">
        <f>IF(C21&lt;&gt;"",AND(AC21,AD21),"")</f>
        <v/>
      </c>
      <c r="AF21" s="489">
        <f>IF(C21&lt;&gt;"",(K21&gt;=9),"")</f>
        <v/>
      </c>
      <c r="AG21" s="489">
        <f>IF(C21&lt;&gt;"",AND(AF21,E21="Nữ"),"")</f>
        <v/>
      </c>
      <c r="AH21" s="489">
        <f>IF(C21&lt;&gt;"",AND(AF21,AC21),"")</f>
        <v/>
      </c>
      <c r="AI21" s="489">
        <f>IF(C21&lt;&gt;"",'THỐNG KÊ'!$E$5-'Thông tin HV'!D21&lt;26,"")</f>
        <v/>
      </c>
      <c r="AJ21" s="489">
        <f>IF(C21&lt;&gt;"",AND(AI21,E21="Nữ"),"")</f>
        <v/>
      </c>
      <c r="AK21" s="489">
        <f>IF(C21&lt;&gt;"",AND(AI21,AC21),"")</f>
        <v/>
      </c>
      <c r="AL21" s="489">
        <f>IF(C21&lt;&gt;"",AND('THỐNG KÊ'!$E$5-'Thông tin HV'!D21&gt;=26,'THỐNG KÊ'!$E$5-'Thông tin HV'!D21&lt;=45),"")</f>
        <v/>
      </c>
      <c r="AM21" s="489">
        <f>IF(C21&lt;&gt;"",AND(AL21,E21="Nữ"),"")</f>
        <v/>
      </c>
      <c r="AN21" s="489">
        <f>IF(C21&lt;&gt;"",AND(AL21,AC21),"")</f>
        <v/>
      </c>
      <c r="AO21" s="489">
        <f>IF(C21&lt;&gt;"",'THỐNG KÊ'!$E$5-'Thông tin HV'!D21&gt;45,"")</f>
        <v/>
      </c>
      <c r="AP21" s="489">
        <f>IF(C21&lt;&gt;"",AND(AO21,E21="Nữ"),"")</f>
        <v/>
      </c>
      <c r="AQ21" s="489">
        <f>IF(C21&lt;&gt;"",AND(AO21,AC21),"")</f>
        <v/>
      </c>
      <c r="AR21" s="489">
        <f>IF(C21&lt;&gt;"",AND(Z21="x",E21="Nữ"),"")</f>
        <v/>
      </c>
      <c r="AS21" s="489">
        <f>IF(C21&lt;&gt;"",AND(Z21="x",E21="Nữ",L21="Người dân tộc thiểu số"),"")</f>
        <v/>
      </c>
      <c r="AT21" s="489">
        <f>IF(C21&lt;&gt;"",AND(Z21="x",L21="Người dân tộc thiểu số"),"")</f>
        <v/>
      </c>
      <c r="AU21" s="490">
        <f>IF(C21&lt;&gt;"",AND(Z21="x",'THỐNG KÊ'!$E$5-'Thông tin HV'!D21&lt;31),"")</f>
        <v/>
      </c>
      <c r="AV21" s="489">
        <f>IF(C21&lt;&gt;"",AND(Z21="x",AC21,AD21),"")</f>
        <v/>
      </c>
      <c r="AW21" s="489">
        <f>IF(C21&lt;&gt;"",AND(K21&gt;=9,Z21="x"),"")</f>
        <v/>
      </c>
      <c r="AX21" s="489">
        <f>IF(C21&lt;&gt;"",AND(Z21="x",AI21,E21="Nữ"),"")</f>
        <v/>
      </c>
      <c r="AY21" s="489">
        <f>IF(C21&lt;&gt;"",AND(Z21="x",AF21,AC21),"")</f>
        <v/>
      </c>
      <c r="AZ21" s="489">
        <f>IF(C21&lt;&gt;"",AND(Z21="x",'THỐNG KÊ'!$E$5-'Thông tin HV'!D21&lt;26),"")</f>
        <v/>
      </c>
      <c r="BA21" s="489">
        <f>IF(C21&lt;&gt;"",AND(Z21="x",AI21,E21="Nữ"),"")</f>
        <v/>
      </c>
      <c r="BB21" s="489">
        <f>IF(C21&lt;&gt;"",AND(Z21="x",AI21,AC21),"")</f>
        <v/>
      </c>
      <c r="BC21" s="489">
        <f>IF(C21&lt;&gt;"",AND(Z21="x",'THỐNG KÊ'!$E$5-'Thông tin HV'!D21&gt;=26,'THỐNG KÊ'!$E$5-'Thông tin HV'!D21&lt;=45),"")</f>
        <v/>
      </c>
      <c r="BD21" s="489">
        <f>IF(C21&lt;&gt;"",AND(Z21="x",AL21,E21="Nữ"),"")</f>
        <v/>
      </c>
      <c r="BE21" s="489">
        <f>IF(C21&lt;&gt;"",AND(Z21="x",AL21,AC21),"")</f>
        <v/>
      </c>
      <c r="BF21" s="489">
        <f>IF(C21&lt;&gt;"",AND(Z21="x",'THỐNG KÊ'!$E$5-'Thông tin HV'!D21&gt;45),"")</f>
        <v/>
      </c>
      <c r="BG21" s="489">
        <f>IF(C21&lt;&gt;"",AND(Z21="x",AO21,E21="Nữ"),"")</f>
        <v/>
      </c>
      <c r="BH21" s="489">
        <f>IF(C21&lt;&gt;"",AND(Z21="x",AO21,AC21),"")</f>
        <v/>
      </c>
    </row>
    <row r="22" ht="24" customFormat="1" customHeight="1" s="474">
      <c r="A22" s="475" t="inlineStr">
        <is>
          <t>19</t>
        </is>
      </c>
      <c r="B22" s="475" t="n"/>
      <c r="C22" s="476" t="inlineStr">
        <is>
          <t>A Sách</t>
        </is>
      </c>
      <c r="D22" s="477" t="n">
        <v>30386</v>
      </c>
      <c r="E22" s="478" t="inlineStr">
        <is>
          <t>Nam</t>
        </is>
      </c>
      <c r="F22" s="479" t="n"/>
      <c r="G22" s="480" t="inlineStr">
        <is>
          <t>Xê Đăng</t>
        </is>
      </c>
      <c r="H22" s="478" t="n"/>
      <c r="I22" s="481">
        <f>IF(AA22="","",IF(AA22&lt;=30,"X",""))</f>
        <v/>
      </c>
      <c r="J22" s="481">
        <f>IF(AND(I22="X",G22&lt;&gt;"Kinh"),"X","")</f>
        <v/>
      </c>
      <c r="K22" s="482" t="n">
        <v>4</v>
      </c>
      <c r="L22" s="483" t="inlineStr">
        <is>
          <t>Người dân tộc thiểu số</t>
        </is>
      </c>
      <c r="M22" s="484">
        <f>VLOOKUP(L22,IDs!$H$3:$I$12,2,0)</f>
        <v/>
      </c>
      <c r="N22" s="485" t="inlineStr">
        <is>
          <t>Thôn ĐăkTrăm, xã Kon Đào, Quảng Ngãi</t>
        </is>
      </c>
      <c r="O22" s="485" t="inlineStr">
        <is>
          <t>Thôn ĐăkTrăm, xã Kon Đào, Quảng Ngãi</t>
        </is>
      </c>
      <c r="P22" s="485" t="inlineStr">
        <is>
          <t>Thôn ĐăkTrăm, xã Kon Đào, Quảng Ngãi</t>
        </is>
      </c>
      <c r="Q22" s="485" t="n"/>
      <c r="R22" s="486" t="n"/>
      <c r="S22" s="486" t="n"/>
      <c r="T22" s="486" t="n"/>
      <c r="U22" s="486" t="n"/>
      <c r="V22" s="486" t="n"/>
      <c r="W22" s="486" t="n"/>
      <c r="X22" s="487">
        <f>IF(D22="","",IF(YEAR(TODAY())-D22&lt;15,"Không đủ tuổi theo học",IF(AND(E22="Nam",YEAR(TODAY())-D22&gt;60),"Quá tuổi theo học",IF(AND(E22="Nữ",YEAR(TODAY())-D22&gt;55),"Quá tuổi theo học","Đảm bảo"))))</f>
        <v/>
      </c>
      <c r="Y22" s="487">
        <f>IF(C22="","",IF(OR(LEFT(C22,1)="Y",LEFT(C22,1)="A"),"",IF(L22&lt;&gt;"Đối tượng lao động nông thôn khác","Cần hồ sơ chứng minh nhóm đối tượng","")))</f>
        <v/>
      </c>
      <c r="Z22" s="488" t="n"/>
      <c r="AA22" s="481">
        <f>IF(OR(D22="",'KHÓA HỌC'!$D$8=""),"",DATEDIF(D22,'KHÓA HỌC'!$D$8,"y"))</f>
        <v/>
      </c>
      <c r="AB22" s="489">
        <f>IF(C22&lt;&gt;"",AND(E22="Nữ",L22="Người dân tộc thiểu số"),"")</f>
        <v/>
      </c>
      <c r="AC22" s="489">
        <f>IF(C22&lt;&gt;"",L22="Người dân tộc thiểu số","")</f>
        <v/>
      </c>
      <c r="AD22" s="490">
        <f>IF(C22&lt;&gt;"",'THỐNG KÊ'!$E$5-'Thông tin HV'!D22&lt;31,"")</f>
        <v/>
      </c>
      <c r="AE22" s="489">
        <f>IF(C22&lt;&gt;"",AND(AC22,AD22),"")</f>
        <v/>
      </c>
      <c r="AF22" s="489">
        <f>IF(C22&lt;&gt;"",(K22&gt;=9),"")</f>
        <v/>
      </c>
      <c r="AG22" s="489">
        <f>IF(C22&lt;&gt;"",AND(AF22,E22="Nữ"),"")</f>
        <v/>
      </c>
      <c r="AH22" s="489">
        <f>IF(C22&lt;&gt;"",AND(AF22,AC22),"")</f>
        <v/>
      </c>
      <c r="AI22" s="489">
        <f>IF(C22&lt;&gt;"",'THỐNG KÊ'!$E$5-'Thông tin HV'!D22&lt;26,"")</f>
        <v/>
      </c>
      <c r="AJ22" s="489">
        <f>IF(C22&lt;&gt;"",AND(AI22,E22="Nữ"),"")</f>
        <v/>
      </c>
      <c r="AK22" s="489">
        <f>IF(C22&lt;&gt;"",AND(AI22,AC22),"")</f>
        <v/>
      </c>
      <c r="AL22" s="489">
        <f>IF(C22&lt;&gt;"",AND('THỐNG KÊ'!$E$5-'Thông tin HV'!D22&gt;=26,'THỐNG KÊ'!$E$5-'Thông tin HV'!D22&lt;=45),"")</f>
        <v/>
      </c>
      <c r="AM22" s="489">
        <f>IF(C22&lt;&gt;"",AND(AL22,E22="Nữ"),"")</f>
        <v/>
      </c>
      <c r="AN22" s="489">
        <f>IF(C22&lt;&gt;"",AND(AL22,AC22),"")</f>
        <v/>
      </c>
      <c r="AO22" s="489">
        <f>IF(C22&lt;&gt;"",'THỐNG KÊ'!$E$5-'Thông tin HV'!D22&gt;45,"")</f>
        <v/>
      </c>
      <c r="AP22" s="489">
        <f>IF(C22&lt;&gt;"",AND(AO22,E22="Nữ"),"")</f>
        <v/>
      </c>
      <c r="AQ22" s="489">
        <f>IF(C22&lt;&gt;"",AND(AO22,AC22),"")</f>
        <v/>
      </c>
      <c r="AR22" s="489">
        <f>IF(C22&lt;&gt;"",AND(Z22="x",E22="Nữ"),"")</f>
        <v/>
      </c>
      <c r="AS22" s="489">
        <f>IF(C22&lt;&gt;"",AND(Z22="x",E22="Nữ",L22="Người dân tộc thiểu số"),"")</f>
        <v/>
      </c>
      <c r="AT22" s="489">
        <f>IF(C22&lt;&gt;"",AND(Z22="x",L22="Người dân tộc thiểu số"),"")</f>
        <v/>
      </c>
      <c r="AU22" s="490">
        <f>IF(C22&lt;&gt;"",AND(Z22="x",'THỐNG KÊ'!$E$5-'Thông tin HV'!D22&lt;31),"")</f>
        <v/>
      </c>
      <c r="AV22" s="489">
        <f>IF(C22&lt;&gt;"",AND(Z22="x",AC22,AD22),"")</f>
        <v/>
      </c>
      <c r="AW22" s="489">
        <f>IF(C22&lt;&gt;"",AND(K22&gt;=9,Z22="x"),"")</f>
        <v/>
      </c>
      <c r="AX22" s="489">
        <f>IF(C22&lt;&gt;"",AND(Z22="x",AI22,E22="Nữ"),"")</f>
        <v/>
      </c>
      <c r="AY22" s="489">
        <f>IF(C22&lt;&gt;"",AND(Z22="x",AF22,AC22),"")</f>
        <v/>
      </c>
      <c r="AZ22" s="489">
        <f>IF(C22&lt;&gt;"",AND(Z22="x",'THỐNG KÊ'!$E$5-'Thông tin HV'!D22&lt;26),"")</f>
        <v/>
      </c>
      <c r="BA22" s="489">
        <f>IF(C22&lt;&gt;"",AND(Z22="x",AI22,E22="Nữ"),"")</f>
        <v/>
      </c>
      <c r="BB22" s="489">
        <f>IF(C22&lt;&gt;"",AND(Z22="x",AI22,AC22),"")</f>
        <v/>
      </c>
      <c r="BC22" s="489">
        <f>IF(C22&lt;&gt;"",AND(Z22="x",'THỐNG KÊ'!$E$5-'Thông tin HV'!D22&gt;=26,'THỐNG KÊ'!$E$5-'Thông tin HV'!D22&lt;=45),"")</f>
        <v/>
      </c>
      <c r="BD22" s="489">
        <f>IF(C22&lt;&gt;"",AND(Z22="x",AL22,E22="Nữ"),"")</f>
        <v/>
      </c>
      <c r="BE22" s="489">
        <f>IF(C22&lt;&gt;"",AND(Z22="x",AL22,AC22),"")</f>
        <v/>
      </c>
      <c r="BF22" s="489">
        <f>IF(C22&lt;&gt;"",AND(Z22="x",'THỐNG KÊ'!$E$5-'Thông tin HV'!D22&gt;45),"")</f>
        <v/>
      </c>
      <c r="BG22" s="489">
        <f>IF(C22&lt;&gt;"",AND(Z22="x",AO22,E22="Nữ"),"")</f>
        <v/>
      </c>
      <c r="BH22" s="489">
        <f>IF(C22&lt;&gt;"",AND(Z22="x",AO22,AC22),"")</f>
        <v/>
      </c>
    </row>
    <row r="23" ht="24" customFormat="1" customHeight="1" s="474">
      <c r="A23" s="475" t="inlineStr">
        <is>
          <t>20</t>
        </is>
      </c>
      <c r="B23" s="475" t="n"/>
      <c r="C23" s="476" t="inlineStr">
        <is>
          <t>A Phun</t>
        </is>
      </c>
      <c r="D23" s="477" t="n">
        <v>30386</v>
      </c>
      <c r="E23" s="478" t="inlineStr">
        <is>
          <t>Nam</t>
        </is>
      </c>
      <c r="F23" s="479" t="n"/>
      <c r="G23" s="480" t="inlineStr">
        <is>
          <t>Xê Đăng</t>
        </is>
      </c>
      <c r="H23" s="478" t="n"/>
      <c r="I23" s="481">
        <f>IF(AA23="","",IF(AA23&lt;=30,"X",""))</f>
        <v/>
      </c>
      <c r="J23" s="481">
        <f>IF(AND(I23="X",G23&lt;&gt;"Kinh"),"X","")</f>
        <v/>
      </c>
      <c r="K23" s="482" t="n">
        <v>9</v>
      </c>
      <c r="L23" s="483" t="inlineStr">
        <is>
          <t>Người dân tộc thiểu số</t>
        </is>
      </c>
      <c r="M23" s="484">
        <f>VLOOKUP(L23,IDs!$H$3:$I$12,2,0)</f>
        <v/>
      </c>
      <c r="N23" s="485" t="inlineStr">
        <is>
          <t>Thôn ĐăkTrăm, xã Kon Đào, Quảng Ngãi</t>
        </is>
      </c>
      <c r="O23" s="485" t="inlineStr">
        <is>
          <t>Thôn ĐăkTrăm, xã Kon Đào, Quảng Ngãi</t>
        </is>
      </c>
      <c r="P23" s="485" t="inlineStr">
        <is>
          <t>Thôn ĐăkTrăm, xã Kon Đào, Quảng Ngãi</t>
        </is>
      </c>
      <c r="Q23" s="485" t="n"/>
      <c r="R23" s="486" t="n"/>
      <c r="S23" s="486" t="n"/>
      <c r="T23" s="486" t="n"/>
      <c r="U23" s="486" t="n"/>
      <c r="V23" s="486" t="n"/>
      <c r="W23" s="486" t="n"/>
      <c r="X23" s="487">
        <f>IF(D23="","",IF(YEAR(TODAY())-D23&lt;15,"Không đủ tuổi theo học",IF(AND(E23="Nam",YEAR(TODAY())-D23&gt;60),"Quá tuổi theo học",IF(AND(E23="Nữ",YEAR(TODAY())-D23&gt;55),"Quá tuổi theo học","Đảm bảo"))))</f>
        <v/>
      </c>
      <c r="Y23" s="487">
        <f>IF(C23="","",IF(OR(LEFT(C23,1)="Y",LEFT(C23,1)="A"),"",IF(L23&lt;&gt;"Đối tượng lao động nông thôn khác","Cần hồ sơ chứng minh nhóm đối tượng","")))</f>
        <v/>
      </c>
      <c r="Z23" s="488" t="n"/>
      <c r="AA23" s="481">
        <f>IF(OR(D23="",'KHÓA HỌC'!$D$8=""),"",DATEDIF(D23,'KHÓA HỌC'!$D$8,"y"))</f>
        <v/>
      </c>
      <c r="AB23" s="489">
        <f>IF(C23&lt;&gt;"",AND(E23="Nữ",L23="Người dân tộc thiểu số"),"")</f>
        <v/>
      </c>
      <c r="AC23" s="489">
        <f>IF(C23&lt;&gt;"",L23="Người dân tộc thiểu số","")</f>
        <v/>
      </c>
      <c r="AD23" s="490">
        <f>IF(C23&lt;&gt;"",'THỐNG KÊ'!$E$5-'Thông tin HV'!D23&lt;31,"")</f>
        <v/>
      </c>
      <c r="AE23" s="489">
        <f>IF(C23&lt;&gt;"",AND(AC23,AD23),"")</f>
        <v/>
      </c>
      <c r="AF23" s="489">
        <f>IF(C23&lt;&gt;"",(K23&gt;=9),"")</f>
        <v/>
      </c>
      <c r="AG23" s="489">
        <f>IF(C23&lt;&gt;"",AND(AF23,E23="Nữ"),"")</f>
        <v/>
      </c>
      <c r="AH23" s="489">
        <f>IF(C23&lt;&gt;"",AND(AF23,AC23),"")</f>
        <v/>
      </c>
      <c r="AI23" s="489">
        <f>IF(C23&lt;&gt;"",'THỐNG KÊ'!$E$5-'Thông tin HV'!D23&lt;26,"")</f>
        <v/>
      </c>
      <c r="AJ23" s="489">
        <f>IF(C23&lt;&gt;"",AND(AI23,E23="Nữ"),"")</f>
        <v/>
      </c>
      <c r="AK23" s="489">
        <f>IF(C23&lt;&gt;"",AND(AI23,AC23),"")</f>
        <v/>
      </c>
      <c r="AL23" s="489">
        <f>IF(C23&lt;&gt;"",AND('THỐNG KÊ'!$E$5-'Thông tin HV'!D23&gt;=26,'THỐNG KÊ'!$E$5-'Thông tin HV'!D23&lt;=45),"")</f>
        <v/>
      </c>
      <c r="AM23" s="489">
        <f>IF(C23&lt;&gt;"",AND(AL23,E23="Nữ"),"")</f>
        <v/>
      </c>
      <c r="AN23" s="489">
        <f>IF(C23&lt;&gt;"",AND(AL23,AC23),"")</f>
        <v/>
      </c>
      <c r="AO23" s="489">
        <f>IF(C23&lt;&gt;"",'THỐNG KÊ'!$E$5-'Thông tin HV'!D23&gt;45,"")</f>
        <v/>
      </c>
      <c r="AP23" s="489">
        <f>IF(C23&lt;&gt;"",AND(AO23,E23="Nữ"),"")</f>
        <v/>
      </c>
      <c r="AQ23" s="489">
        <f>IF(C23&lt;&gt;"",AND(AO23,AC23),"")</f>
        <v/>
      </c>
      <c r="AR23" s="489">
        <f>IF(C23&lt;&gt;"",AND(Z23="x",E23="Nữ"),"")</f>
        <v/>
      </c>
      <c r="AS23" s="489">
        <f>IF(C23&lt;&gt;"",AND(Z23="x",E23="Nữ",L23="Người dân tộc thiểu số"),"")</f>
        <v/>
      </c>
      <c r="AT23" s="489">
        <f>IF(C23&lt;&gt;"",AND(Z23="x",L23="Người dân tộc thiểu số"),"")</f>
        <v/>
      </c>
      <c r="AU23" s="490">
        <f>IF(C23&lt;&gt;"",AND(Z23="x",'THỐNG KÊ'!$E$5-'Thông tin HV'!D23&lt;31),"")</f>
        <v/>
      </c>
      <c r="AV23" s="489">
        <f>IF(C23&lt;&gt;"",AND(Z23="x",AC23,AD23),"")</f>
        <v/>
      </c>
      <c r="AW23" s="489">
        <f>IF(C23&lt;&gt;"",AND(K23&gt;=9,Z23="x"),"")</f>
        <v/>
      </c>
      <c r="AX23" s="489">
        <f>IF(C23&lt;&gt;"",AND(Z23="x",AI23,E23="Nữ"),"")</f>
        <v/>
      </c>
      <c r="AY23" s="489">
        <f>IF(C23&lt;&gt;"",AND(Z23="x",AF23,AC23),"")</f>
        <v/>
      </c>
      <c r="AZ23" s="489">
        <f>IF(C23&lt;&gt;"",AND(Z23="x",'THỐNG KÊ'!$E$5-'Thông tin HV'!D23&lt;26),"")</f>
        <v/>
      </c>
      <c r="BA23" s="489">
        <f>IF(C23&lt;&gt;"",AND(Z23="x",AI23,E23="Nữ"),"")</f>
        <v/>
      </c>
      <c r="BB23" s="489">
        <f>IF(C23&lt;&gt;"",AND(Z23="x",AI23,AC23),"")</f>
        <v/>
      </c>
      <c r="BC23" s="489">
        <f>IF(C23&lt;&gt;"",AND(Z23="x",'THỐNG KÊ'!$E$5-'Thông tin HV'!D23&gt;=26,'THỐNG KÊ'!$E$5-'Thông tin HV'!D23&lt;=45),"")</f>
        <v/>
      </c>
      <c r="BD23" s="489">
        <f>IF(C23&lt;&gt;"",AND(Z23="x",AL23,E23="Nữ"),"")</f>
        <v/>
      </c>
      <c r="BE23" s="489">
        <f>IF(C23&lt;&gt;"",AND(Z23="x",AL23,AC23),"")</f>
        <v/>
      </c>
      <c r="BF23" s="489">
        <f>IF(C23&lt;&gt;"",AND(Z23="x",'THỐNG KÊ'!$E$5-'Thông tin HV'!D23&gt;45),"")</f>
        <v/>
      </c>
      <c r="BG23" s="489">
        <f>IF(C23&lt;&gt;"",AND(Z23="x",AO23,E23="Nữ"),"")</f>
        <v/>
      </c>
      <c r="BH23" s="489">
        <f>IF(C23&lt;&gt;"",AND(Z23="x",AO23,AC23),"")</f>
        <v/>
      </c>
    </row>
    <row r="24" ht="24" customFormat="1" customHeight="1" s="474">
      <c r="A24" s="475" t="inlineStr">
        <is>
          <t>21</t>
        </is>
      </c>
      <c r="B24" s="475" t="n"/>
      <c r="C24" s="476" t="inlineStr">
        <is>
          <t>A Thu</t>
        </is>
      </c>
      <c r="D24" s="477" t="n">
        <v>30386</v>
      </c>
      <c r="E24" s="478" t="inlineStr">
        <is>
          <t>Nam</t>
        </is>
      </c>
      <c r="F24" s="479" t="n"/>
      <c r="G24" s="480" t="inlineStr">
        <is>
          <t>Xê Đăng</t>
        </is>
      </c>
      <c r="H24" s="478" t="n"/>
      <c r="I24" s="481">
        <f>IF(AA24="","",IF(AA24&lt;=30,"X",""))</f>
        <v/>
      </c>
      <c r="J24" s="481">
        <f>IF(AND(I24="X",G24&lt;&gt;"Kinh"),"X","")</f>
        <v/>
      </c>
      <c r="K24" s="482" t="n">
        <v>7</v>
      </c>
      <c r="L24" s="483" t="inlineStr">
        <is>
          <t>Người dân tộc thiểu số</t>
        </is>
      </c>
      <c r="M24" s="484">
        <f>VLOOKUP(L24,IDs!$H$3:$I$12,2,0)</f>
        <v/>
      </c>
      <c r="N24" s="485" t="inlineStr">
        <is>
          <t>Thôn ĐăkTrăm, xã Kon Đào, Quảng Ngãi</t>
        </is>
      </c>
      <c r="O24" s="485" t="inlineStr">
        <is>
          <t>Thôn ĐăkTrăm, xã Kon Đào, Quảng Ngãi</t>
        </is>
      </c>
      <c r="P24" s="485" t="inlineStr">
        <is>
          <t>Thôn ĐăkTrăm, xã Kon Đào, Quảng Ngãi</t>
        </is>
      </c>
      <c r="Q24" s="485" t="n"/>
      <c r="R24" s="486" t="n"/>
      <c r="S24" s="486" t="n"/>
      <c r="T24" s="486" t="n"/>
      <c r="U24" s="486" t="n"/>
      <c r="V24" s="486" t="n"/>
      <c r="W24" s="486" t="n"/>
      <c r="X24" s="487">
        <f>IF(D24="","",IF(YEAR(TODAY())-D24&lt;15,"Không đủ tuổi theo học",IF(AND(E24="Nam",YEAR(TODAY())-D24&gt;60),"Quá tuổi theo học",IF(AND(E24="Nữ",YEAR(TODAY())-D24&gt;55),"Quá tuổi theo học","Đảm bảo"))))</f>
        <v/>
      </c>
      <c r="Y24" s="487">
        <f>IF(C24="","",IF(OR(LEFT(C24,1)="Y",LEFT(C24,1)="A"),"",IF(L24&lt;&gt;"Đối tượng lao động nông thôn khác","Cần hồ sơ chứng minh nhóm đối tượng","")))</f>
        <v/>
      </c>
      <c r="Z24" s="488" t="n"/>
      <c r="AA24" s="481">
        <f>IF(OR(D24="",'KHÓA HỌC'!$D$8=""),"",DATEDIF(D24,'KHÓA HỌC'!$D$8,"y"))</f>
        <v/>
      </c>
      <c r="AB24" s="489">
        <f>IF(C24&lt;&gt;"",AND(E24="Nữ",L24="Người dân tộc thiểu số"),"")</f>
        <v/>
      </c>
      <c r="AC24" s="489">
        <f>IF(C24&lt;&gt;"",L24="Người dân tộc thiểu số","")</f>
        <v/>
      </c>
      <c r="AD24" s="490">
        <f>IF(C24&lt;&gt;"",'THỐNG KÊ'!$E$5-'Thông tin HV'!D24&lt;31,"")</f>
        <v/>
      </c>
      <c r="AE24" s="489">
        <f>IF(C24&lt;&gt;"",AND(AC24,AD24),"")</f>
        <v/>
      </c>
      <c r="AF24" s="489">
        <f>IF(C24&lt;&gt;"",(K24&gt;=9),"")</f>
        <v/>
      </c>
      <c r="AG24" s="489">
        <f>IF(C24&lt;&gt;"",AND(AF24,E24="Nữ"),"")</f>
        <v/>
      </c>
      <c r="AH24" s="489">
        <f>IF(C24&lt;&gt;"",AND(AF24,AC24),"")</f>
        <v/>
      </c>
      <c r="AI24" s="489">
        <f>IF(C24&lt;&gt;"",'THỐNG KÊ'!$E$5-'Thông tin HV'!D24&lt;26,"")</f>
        <v/>
      </c>
      <c r="AJ24" s="489">
        <f>IF(C24&lt;&gt;"",AND(AI24,E24="Nữ"),"")</f>
        <v/>
      </c>
      <c r="AK24" s="489">
        <f>IF(C24&lt;&gt;"",AND(AI24,AC24),"")</f>
        <v/>
      </c>
      <c r="AL24" s="489">
        <f>IF(C24&lt;&gt;"",AND('THỐNG KÊ'!$E$5-'Thông tin HV'!D24&gt;=26,'THỐNG KÊ'!$E$5-'Thông tin HV'!D24&lt;=45),"")</f>
        <v/>
      </c>
      <c r="AM24" s="489">
        <f>IF(C24&lt;&gt;"",AND(AL24,E24="Nữ"),"")</f>
        <v/>
      </c>
      <c r="AN24" s="489">
        <f>IF(C24&lt;&gt;"",AND(AL24,AC24),"")</f>
        <v/>
      </c>
      <c r="AO24" s="489">
        <f>IF(C24&lt;&gt;"",'THỐNG KÊ'!$E$5-'Thông tin HV'!D24&gt;45,"")</f>
        <v/>
      </c>
      <c r="AP24" s="489">
        <f>IF(C24&lt;&gt;"",AND(AO24,E24="Nữ"),"")</f>
        <v/>
      </c>
      <c r="AQ24" s="489">
        <f>IF(C24&lt;&gt;"",AND(AO24,AC24),"")</f>
        <v/>
      </c>
      <c r="AR24" s="489">
        <f>IF(C24&lt;&gt;"",AND(Z24="x",E24="Nữ"),"")</f>
        <v/>
      </c>
      <c r="AS24" s="489">
        <f>IF(C24&lt;&gt;"",AND(Z24="x",E24="Nữ",L24="Người dân tộc thiểu số"),"")</f>
        <v/>
      </c>
      <c r="AT24" s="489">
        <f>IF(C24&lt;&gt;"",AND(Z24="x",L24="Người dân tộc thiểu số"),"")</f>
        <v/>
      </c>
      <c r="AU24" s="490">
        <f>IF(C24&lt;&gt;"",AND(Z24="x",'THỐNG KÊ'!$E$5-'Thông tin HV'!D24&lt;31),"")</f>
        <v/>
      </c>
      <c r="AV24" s="489">
        <f>IF(C24&lt;&gt;"",AND(Z24="x",AC24,AD24),"")</f>
        <v/>
      </c>
      <c r="AW24" s="489">
        <f>IF(C24&lt;&gt;"",AND(K24&gt;=9,Z24="x"),"")</f>
        <v/>
      </c>
      <c r="AX24" s="489">
        <f>IF(C24&lt;&gt;"",AND(Z24="x",AI24,E24="Nữ"),"")</f>
        <v/>
      </c>
      <c r="AY24" s="489">
        <f>IF(C24&lt;&gt;"",AND(Z24="x",AF24,AC24),"")</f>
        <v/>
      </c>
      <c r="AZ24" s="489">
        <f>IF(C24&lt;&gt;"",AND(Z24="x",'THỐNG KÊ'!$E$5-'Thông tin HV'!D24&lt;26),"")</f>
        <v/>
      </c>
      <c r="BA24" s="489">
        <f>IF(C24&lt;&gt;"",AND(Z24="x",AI24,E24="Nữ"),"")</f>
        <v/>
      </c>
      <c r="BB24" s="489">
        <f>IF(C24&lt;&gt;"",AND(Z24="x",AI24,AC24),"")</f>
        <v/>
      </c>
      <c r="BC24" s="489">
        <f>IF(C24&lt;&gt;"",AND(Z24="x",'THỐNG KÊ'!$E$5-'Thông tin HV'!D24&gt;=26,'THỐNG KÊ'!$E$5-'Thông tin HV'!D24&lt;=45),"")</f>
        <v/>
      </c>
      <c r="BD24" s="489">
        <f>IF(C24&lt;&gt;"",AND(Z24="x",AL24,E24="Nữ"),"")</f>
        <v/>
      </c>
      <c r="BE24" s="489">
        <f>IF(C24&lt;&gt;"",AND(Z24="x",AL24,AC24),"")</f>
        <v/>
      </c>
      <c r="BF24" s="489">
        <f>IF(C24&lt;&gt;"",AND(Z24="x",'THỐNG KÊ'!$E$5-'Thông tin HV'!D24&gt;45),"")</f>
        <v/>
      </c>
      <c r="BG24" s="489">
        <f>IF(C24&lt;&gt;"",AND(Z24="x",AO24,E24="Nữ"),"")</f>
        <v/>
      </c>
      <c r="BH24" s="489">
        <f>IF(C24&lt;&gt;"",AND(Z24="x",AO24,AC24),"")</f>
        <v/>
      </c>
    </row>
    <row r="25" ht="24" customFormat="1" customHeight="1" s="474">
      <c r="A25" s="475" t="inlineStr">
        <is>
          <t>22</t>
        </is>
      </c>
      <c r="B25" s="475" t="n"/>
      <c r="C25" s="476" t="inlineStr">
        <is>
          <t>A Khiếp</t>
        </is>
      </c>
      <c r="D25" s="477" t="n">
        <v>30386</v>
      </c>
      <c r="E25" s="478" t="inlineStr">
        <is>
          <t>Nam</t>
        </is>
      </c>
      <c r="F25" s="479" t="n"/>
      <c r="G25" s="480" t="inlineStr">
        <is>
          <t>Xê Đăng</t>
        </is>
      </c>
      <c r="H25" s="478" t="n"/>
      <c r="I25" s="481">
        <f>IF(AA25="","",IF(AA25&lt;=30,"X",""))</f>
        <v/>
      </c>
      <c r="J25" s="481">
        <f>IF(AND(I25="X",G25&lt;&gt;"Kinh"),"X","")</f>
        <v/>
      </c>
      <c r="K25" s="482" t="n">
        <v>9</v>
      </c>
      <c r="L25" s="483" t="inlineStr">
        <is>
          <t>Người dân tộc thiểu số</t>
        </is>
      </c>
      <c r="M25" s="484">
        <f>VLOOKUP(L25,IDs!$H$3:$I$12,2,0)</f>
        <v/>
      </c>
      <c r="N25" s="485" t="inlineStr">
        <is>
          <t>Thôn ĐăkTrăm, xã Kon Đào, Quảng Ngãi</t>
        </is>
      </c>
      <c r="O25" s="485" t="inlineStr">
        <is>
          <t>Thôn ĐăkTrăm, xã Kon Đào, Quảng Ngãi</t>
        </is>
      </c>
      <c r="P25" s="485" t="inlineStr">
        <is>
          <t>Thôn ĐăkTrăm, xã Kon Đào, Quảng Ngãi</t>
        </is>
      </c>
      <c r="Q25" s="485" t="n"/>
      <c r="R25" s="486" t="n"/>
      <c r="S25" s="486" t="n"/>
      <c r="T25" s="486" t="n"/>
      <c r="U25" s="486" t="n"/>
      <c r="V25" s="486" t="n"/>
      <c r="W25" s="486" t="n"/>
      <c r="X25" s="487">
        <f>IF(D25="","",IF(YEAR(TODAY())-D25&lt;15,"Không đủ tuổi theo học",IF(AND(E25="Nam",YEAR(TODAY())-D25&gt;60),"Quá tuổi theo học",IF(AND(E25="Nữ",YEAR(TODAY())-D25&gt;55),"Quá tuổi theo học","Đảm bảo"))))</f>
        <v/>
      </c>
      <c r="Y25" s="487">
        <f>IF(C25="","",IF(OR(LEFT(C25,1)="Y",LEFT(C25,1)="A"),"",IF(L25&lt;&gt;"Đối tượng lao động nông thôn khác","Cần hồ sơ chứng minh nhóm đối tượng","")))</f>
        <v/>
      </c>
      <c r="Z25" s="488" t="n"/>
      <c r="AA25" s="481">
        <f>IF(OR(D25="",'KHÓA HỌC'!$D$8=""),"",DATEDIF(D25,'KHÓA HỌC'!$D$8,"y"))</f>
        <v/>
      </c>
      <c r="AB25" s="489">
        <f>IF(C25&lt;&gt;"",AND(E25="Nữ",L25="Người dân tộc thiểu số"),"")</f>
        <v/>
      </c>
      <c r="AC25" s="489">
        <f>IF(C25&lt;&gt;"",L25="Người dân tộc thiểu số","")</f>
        <v/>
      </c>
      <c r="AD25" s="490">
        <f>IF(C25&lt;&gt;"",'THỐNG KÊ'!$E$5-'Thông tin HV'!D25&lt;31,"")</f>
        <v/>
      </c>
      <c r="AE25" s="489">
        <f>IF(C25&lt;&gt;"",AND(AC25,AD25),"")</f>
        <v/>
      </c>
      <c r="AF25" s="489">
        <f>IF(C25&lt;&gt;"",(K25&gt;=9),"")</f>
        <v/>
      </c>
      <c r="AG25" s="489">
        <f>IF(C25&lt;&gt;"",AND(AF25,E25="Nữ"),"")</f>
        <v/>
      </c>
      <c r="AH25" s="489">
        <f>IF(C25&lt;&gt;"",AND(AF25,AC25),"")</f>
        <v/>
      </c>
      <c r="AI25" s="489">
        <f>IF(C25&lt;&gt;"",'THỐNG KÊ'!$E$5-'Thông tin HV'!D25&lt;26,"")</f>
        <v/>
      </c>
      <c r="AJ25" s="489">
        <f>IF(C25&lt;&gt;"",AND(AI25,E25="Nữ"),"")</f>
        <v/>
      </c>
      <c r="AK25" s="489">
        <f>IF(C25&lt;&gt;"",AND(AI25,AC25),"")</f>
        <v/>
      </c>
      <c r="AL25" s="489">
        <f>IF(C25&lt;&gt;"",AND('THỐNG KÊ'!$E$5-'Thông tin HV'!D25&gt;=26,'THỐNG KÊ'!$E$5-'Thông tin HV'!D25&lt;=45),"")</f>
        <v/>
      </c>
      <c r="AM25" s="489">
        <f>IF(C25&lt;&gt;"",AND(AL25,E25="Nữ"),"")</f>
        <v/>
      </c>
      <c r="AN25" s="489">
        <f>IF(C25&lt;&gt;"",AND(AL25,AC25),"")</f>
        <v/>
      </c>
      <c r="AO25" s="489">
        <f>IF(C25&lt;&gt;"",'THỐNG KÊ'!$E$5-'Thông tin HV'!D25&gt;45,"")</f>
        <v/>
      </c>
      <c r="AP25" s="489">
        <f>IF(C25&lt;&gt;"",AND(AO25,E25="Nữ"),"")</f>
        <v/>
      </c>
      <c r="AQ25" s="489">
        <f>IF(C25&lt;&gt;"",AND(AO25,AC25),"")</f>
        <v/>
      </c>
      <c r="AR25" s="489">
        <f>IF(C25&lt;&gt;"",AND(Z25="x",E25="Nữ"),"")</f>
        <v/>
      </c>
      <c r="AS25" s="489">
        <f>IF(C25&lt;&gt;"",AND(Z25="x",E25="Nữ",L25="Người dân tộc thiểu số"),"")</f>
        <v/>
      </c>
      <c r="AT25" s="489">
        <f>IF(C25&lt;&gt;"",AND(Z25="x",L25="Người dân tộc thiểu số"),"")</f>
        <v/>
      </c>
      <c r="AU25" s="490">
        <f>IF(C25&lt;&gt;"",AND(Z25="x",'THỐNG KÊ'!$E$5-'Thông tin HV'!D25&lt;31),"")</f>
        <v/>
      </c>
      <c r="AV25" s="489">
        <f>IF(C25&lt;&gt;"",AND(Z25="x",AC25,AD25),"")</f>
        <v/>
      </c>
      <c r="AW25" s="489">
        <f>IF(C25&lt;&gt;"",AND(K25&gt;=9,Z25="x"),"")</f>
        <v/>
      </c>
      <c r="AX25" s="489">
        <f>IF(C25&lt;&gt;"",AND(Z25="x",AI25,E25="Nữ"),"")</f>
        <v/>
      </c>
      <c r="AY25" s="489">
        <f>IF(C25&lt;&gt;"",AND(Z25="x",AF25,AC25),"")</f>
        <v/>
      </c>
      <c r="AZ25" s="489">
        <f>IF(C25&lt;&gt;"",AND(Z25="x",'THỐNG KÊ'!$E$5-'Thông tin HV'!D25&lt;26),"")</f>
        <v/>
      </c>
      <c r="BA25" s="489">
        <f>IF(C25&lt;&gt;"",AND(Z25="x",AI25,E25="Nữ"),"")</f>
        <v/>
      </c>
      <c r="BB25" s="489">
        <f>IF(C25&lt;&gt;"",AND(Z25="x",AI25,AC25),"")</f>
        <v/>
      </c>
      <c r="BC25" s="489">
        <f>IF(C25&lt;&gt;"",AND(Z25="x",'THỐNG KÊ'!$E$5-'Thông tin HV'!D25&gt;=26,'THỐNG KÊ'!$E$5-'Thông tin HV'!D25&lt;=45),"")</f>
        <v/>
      </c>
      <c r="BD25" s="489">
        <f>IF(C25&lt;&gt;"",AND(Z25="x",AL25,E25="Nữ"),"")</f>
        <v/>
      </c>
      <c r="BE25" s="489">
        <f>IF(C25&lt;&gt;"",AND(Z25="x",AL25,AC25),"")</f>
        <v/>
      </c>
      <c r="BF25" s="489">
        <f>IF(C25&lt;&gt;"",AND(Z25="x",'THỐNG KÊ'!$E$5-'Thông tin HV'!D25&gt;45),"")</f>
        <v/>
      </c>
      <c r="BG25" s="489">
        <f>IF(C25&lt;&gt;"",AND(Z25="x",AO25,E25="Nữ"),"")</f>
        <v/>
      </c>
      <c r="BH25" s="489">
        <f>IF(C25&lt;&gt;"",AND(Z25="x",AO25,AC25),"")</f>
        <v/>
      </c>
    </row>
    <row r="26" ht="24" customFormat="1" customHeight="1" s="474">
      <c r="A26" s="475" t="inlineStr">
        <is>
          <t>23</t>
        </is>
      </c>
      <c r="B26" s="475" t="n"/>
      <c r="C26" s="476" t="inlineStr">
        <is>
          <t>A Munh</t>
        </is>
      </c>
      <c r="D26" s="477" t="n">
        <v>30386</v>
      </c>
      <c r="E26" s="478" t="inlineStr">
        <is>
          <t>Nam</t>
        </is>
      </c>
      <c r="F26" s="479" t="n"/>
      <c r="G26" s="480" t="inlineStr">
        <is>
          <t>Xê Đăng</t>
        </is>
      </c>
      <c r="H26" s="478" t="n"/>
      <c r="I26" s="481">
        <f>IF(AA26="","",IF(AA26&lt;=30,"X",""))</f>
        <v/>
      </c>
      <c r="J26" s="481">
        <f>IF(AND(I26="X",G26&lt;&gt;"Kinh"),"X","")</f>
        <v/>
      </c>
      <c r="K26" s="482" t="n">
        <v>9</v>
      </c>
      <c r="L26" s="483" t="inlineStr">
        <is>
          <t>Người dân tộc thiểu số</t>
        </is>
      </c>
      <c r="M26" s="484">
        <f>VLOOKUP(L26,IDs!$H$3:$I$12,2,0)</f>
        <v/>
      </c>
      <c r="N26" s="485" t="inlineStr">
        <is>
          <t>Thôn ĐăkTrăm, xã Kon Đào, Quảng Ngãi</t>
        </is>
      </c>
      <c r="O26" s="485" t="inlineStr">
        <is>
          <t>Thôn ĐăkTrăm, xã Kon Đào, Quảng Ngãi</t>
        </is>
      </c>
      <c r="P26" s="485" t="inlineStr">
        <is>
          <t>Thôn ĐăkTrăm, xã Kon Đào, Quảng Ngãi</t>
        </is>
      </c>
      <c r="Q26" s="485" t="n"/>
      <c r="R26" s="486" t="n"/>
      <c r="S26" s="486" t="n"/>
      <c r="T26" s="486" t="n"/>
      <c r="U26" s="486" t="n"/>
      <c r="V26" s="486" t="n"/>
      <c r="W26" s="486" t="n"/>
      <c r="X26" s="487">
        <f>IF(D26="","",IF(YEAR(TODAY())-D26&lt;15,"Không đủ tuổi theo học",IF(AND(E26="Nam",YEAR(TODAY())-D26&gt;60),"Quá tuổi theo học",IF(AND(E26="Nữ",YEAR(TODAY())-D26&gt;55),"Quá tuổi theo học","Đảm bảo"))))</f>
        <v/>
      </c>
      <c r="Y26" s="487">
        <f>IF(C26="","",IF(OR(LEFT(C26,1)="Y",LEFT(C26,1)="A"),"",IF(L26&lt;&gt;"Đối tượng lao động nông thôn khác","Cần hồ sơ chứng minh nhóm đối tượng","")))</f>
        <v/>
      </c>
      <c r="Z26" s="488" t="n"/>
      <c r="AA26" s="481">
        <f>IF(OR(D26="",'KHÓA HỌC'!$D$8=""),"",DATEDIF(D26,'KHÓA HỌC'!$D$8,"y"))</f>
        <v/>
      </c>
      <c r="AB26" s="489">
        <f>IF(C26&lt;&gt;"",AND(E26="Nữ",L26="Người dân tộc thiểu số"),"")</f>
        <v/>
      </c>
      <c r="AC26" s="489">
        <f>IF(C26&lt;&gt;"",L26="Người dân tộc thiểu số","")</f>
        <v/>
      </c>
      <c r="AD26" s="490">
        <f>IF(C26&lt;&gt;"",'THỐNG KÊ'!$E$5-'Thông tin HV'!D26&lt;31,"")</f>
        <v/>
      </c>
      <c r="AE26" s="489">
        <f>IF(C26&lt;&gt;"",AND(AC26,AD26),"")</f>
        <v/>
      </c>
      <c r="AF26" s="489">
        <f>IF(C26&lt;&gt;"",(K26&gt;=9),"")</f>
        <v/>
      </c>
      <c r="AG26" s="489">
        <f>IF(C26&lt;&gt;"",AND(AF26,E26="Nữ"),"")</f>
        <v/>
      </c>
      <c r="AH26" s="489">
        <f>IF(C26&lt;&gt;"",AND(AF26,AC26),"")</f>
        <v/>
      </c>
      <c r="AI26" s="489">
        <f>IF(C26&lt;&gt;"",'THỐNG KÊ'!$E$5-'Thông tin HV'!D26&lt;26,"")</f>
        <v/>
      </c>
      <c r="AJ26" s="489">
        <f>IF(C26&lt;&gt;"",AND(AI26,E26="Nữ"),"")</f>
        <v/>
      </c>
      <c r="AK26" s="489">
        <f>IF(C26&lt;&gt;"",AND(AI26,AC26),"")</f>
        <v/>
      </c>
      <c r="AL26" s="489">
        <f>IF(C26&lt;&gt;"",AND('THỐNG KÊ'!$E$5-'Thông tin HV'!D26&gt;=26,'THỐNG KÊ'!$E$5-'Thông tin HV'!D26&lt;=45),"")</f>
        <v/>
      </c>
      <c r="AM26" s="489">
        <f>IF(C26&lt;&gt;"",AND(AL26,E26="Nữ"),"")</f>
        <v/>
      </c>
      <c r="AN26" s="489">
        <f>IF(C26&lt;&gt;"",AND(AL26,AC26),"")</f>
        <v/>
      </c>
      <c r="AO26" s="489">
        <f>IF(C26&lt;&gt;"",'THỐNG KÊ'!$E$5-'Thông tin HV'!D26&gt;45,"")</f>
        <v/>
      </c>
      <c r="AP26" s="489">
        <f>IF(C26&lt;&gt;"",AND(AO26,E26="Nữ"),"")</f>
        <v/>
      </c>
      <c r="AQ26" s="489">
        <f>IF(C26&lt;&gt;"",AND(AO26,AC26),"")</f>
        <v/>
      </c>
      <c r="AR26" s="489">
        <f>IF(C26&lt;&gt;"",AND(Z26="x",E26="Nữ"),"")</f>
        <v/>
      </c>
      <c r="AS26" s="489">
        <f>IF(C26&lt;&gt;"",AND(Z26="x",E26="Nữ",L26="Người dân tộc thiểu số"),"")</f>
        <v/>
      </c>
      <c r="AT26" s="489">
        <f>IF(C26&lt;&gt;"",AND(Z26="x",L26="Người dân tộc thiểu số"),"")</f>
        <v/>
      </c>
      <c r="AU26" s="490">
        <f>IF(C26&lt;&gt;"",AND(Z26="x",'THỐNG KÊ'!$E$5-'Thông tin HV'!D26&lt;31),"")</f>
        <v/>
      </c>
      <c r="AV26" s="489">
        <f>IF(C26&lt;&gt;"",AND(Z26="x",AC26,AD26),"")</f>
        <v/>
      </c>
      <c r="AW26" s="489">
        <f>IF(C26&lt;&gt;"",AND(K26&gt;=9,Z26="x"),"")</f>
        <v/>
      </c>
      <c r="AX26" s="489">
        <f>IF(C26&lt;&gt;"",AND(Z26="x",AI26,E26="Nữ"),"")</f>
        <v/>
      </c>
      <c r="AY26" s="489">
        <f>IF(C26&lt;&gt;"",AND(Z26="x",AF26,AC26),"")</f>
        <v/>
      </c>
      <c r="AZ26" s="489">
        <f>IF(C26&lt;&gt;"",AND(Z26="x",'THỐNG KÊ'!$E$5-'Thông tin HV'!D26&lt;26),"")</f>
        <v/>
      </c>
      <c r="BA26" s="489">
        <f>IF(C26&lt;&gt;"",AND(Z26="x",AI26,E26="Nữ"),"")</f>
        <v/>
      </c>
      <c r="BB26" s="489">
        <f>IF(C26&lt;&gt;"",AND(Z26="x",AI26,AC26),"")</f>
        <v/>
      </c>
      <c r="BC26" s="489">
        <f>IF(C26&lt;&gt;"",AND(Z26="x",'THỐNG KÊ'!$E$5-'Thông tin HV'!D26&gt;=26,'THỐNG KÊ'!$E$5-'Thông tin HV'!D26&lt;=45),"")</f>
        <v/>
      </c>
      <c r="BD26" s="489">
        <f>IF(C26&lt;&gt;"",AND(Z26="x",AL26,E26="Nữ"),"")</f>
        <v/>
      </c>
      <c r="BE26" s="489">
        <f>IF(C26&lt;&gt;"",AND(Z26="x",AL26,AC26),"")</f>
        <v/>
      </c>
      <c r="BF26" s="489">
        <f>IF(C26&lt;&gt;"",AND(Z26="x",'THỐNG KÊ'!$E$5-'Thông tin HV'!D26&gt;45),"")</f>
        <v/>
      </c>
      <c r="BG26" s="489">
        <f>IF(C26&lt;&gt;"",AND(Z26="x",AO26,E26="Nữ"),"")</f>
        <v/>
      </c>
      <c r="BH26" s="489">
        <f>IF(C26&lt;&gt;"",AND(Z26="x",AO26,AC26),"")</f>
        <v/>
      </c>
    </row>
    <row r="27" ht="24" customFormat="1" customHeight="1" s="474">
      <c r="A27" s="475" t="inlineStr">
        <is>
          <t>24</t>
        </is>
      </c>
      <c r="B27" s="475" t="n"/>
      <c r="C27" s="476" t="inlineStr">
        <is>
          <t>A Quâng</t>
        </is>
      </c>
      <c r="D27" s="477" t="n">
        <v>30386</v>
      </c>
      <c r="E27" s="478" t="inlineStr">
        <is>
          <t>Nam</t>
        </is>
      </c>
      <c r="F27" s="479" t="n"/>
      <c r="G27" s="480" t="inlineStr">
        <is>
          <t>Gia Rai</t>
        </is>
      </c>
      <c r="H27" s="478" t="n"/>
      <c r="I27" s="481">
        <f>IF(AA27="","",IF(AA27&lt;=30,"X",""))</f>
        <v/>
      </c>
      <c r="J27" s="481">
        <f>IF(AND(I27="X",G27&lt;&gt;"Kinh"),"X","")</f>
        <v/>
      </c>
      <c r="K27" s="482" t="n">
        <v>9</v>
      </c>
      <c r="L27" s="483" t="inlineStr">
        <is>
          <t>Người dân tộc thiểu số</t>
        </is>
      </c>
      <c r="M27" s="484">
        <f>VLOOKUP(L27,IDs!$H$3:$I$12,2,0)</f>
        <v/>
      </c>
      <c r="N27" s="485" t="inlineStr">
        <is>
          <t>Thôn ĐăkTrăm, xã Kon Đào, Quảng Ngãi</t>
        </is>
      </c>
      <c r="O27" s="485" t="inlineStr">
        <is>
          <t>Thôn ĐăkTrăm, xã Kon Đào, Quảng Ngãi</t>
        </is>
      </c>
      <c r="P27" s="485" t="inlineStr">
        <is>
          <t>Thôn ĐăkTrăm, xã Kon Đào, Quảng Ngãi</t>
        </is>
      </c>
      <c r="Q27" s="485" t="n"/>
      <c r="R27" s="486" t="n"/>
      <c r="S27" s="486" t="n"/>
      <c r="T27" s="486" t="n"/>
      <c r="U27" s="486" t="n"/>
      <c r="V27" s="486" t="n"/>
      <c r="W27" s="486" t="n"/>
      <c r="X27" s="487">
        <f>IF(D27="","",IF(YEAR(TODAY())-D27&lt;15,"Không đủ tuổi theo học",IF(AND(E27="Nam",YEAR(TODAY())-D27&gt;60),"Quá tuổi theo học",IF(AND(E27="Nữ",YEAR(TODAY())-D27&gt;55),"Quá tuổi theo học","Đảm bảo"))))</f>
        <v/>
      </c>
      <c r="Y27" s="487">
        <f>IF(C27="","",IF(OR(LEFT(C27,1)="Y",LEFT(C27,1)="A"),"",IF(L27&lt;&gt;"Đối tượng lao động nông thôn khác","Cần hồ sơ chứng minh nhóm đối tượng","")))</f>
        <v/>
      </c>
      <c r="Z27" s="488" t="n"/>
      <c r="AA27" s="481">
        <f>IF(OR(D27="",'KHÓA HỌC'!$D$8=""),"",DATEDIF(D27,'KHÓA HỌC'!$D$8,"y"))</f>
        <v/>
      </c>
      <c r="AB27" s="489">
        <f>IF(C27&lt;&gt;"",AND(E27="Nữ",L27="Người dân tộc thiểu số"),"")</f>
        <v/>
      </c>
      <c r="AC27" s="489">
        <f>IF(C27&lt;&gt;"",L27="Người dân tộc thiểu số","")</f>
        <v/>
      </c>
      <c r="AD27" s="490">
        <f>IF(C27&lt;&gt;"",'THỐNG KÊ'!$E$5-'Thông tin HV'!D27&lt;31,"")</f>
        <v/>
      </c>
      <c r="AE27" s="489">
        <f>IF(C27&lt;&gt;"",AND(AC27,AD27),"")</f>
        <v/>
      </c>
      <c r="AF27" s="489">
        <f>IF(C27&lt;&gt;"",(K27&gt;=9),"")</f>
        <v/>
      </c>
      <c r="AG27" s="489">
        <f>IF(C27&lt;&gt;"",AND(AF27,E27="Nữ"),"")</f>
        <v/>
      </c>
      <c r="AH27" s="489">
        <f>IF(C27&lt;&gt;"",AND(AF27,AC27),"")</f>
        <v/>
      </c>
      <c r="AI27" s="489">
        <f>IF(C27&lt;&gt;"",'THỐNG KÊ'!$E$5-'Thông tin HV'!D27&lt;26,"")</f>
        <v/>
      </c>
      <c r="AJ27" s="489">
        <f>IF(C27&lt;&gt;"",AND(AI27,E27="Nữ"),"")</f>
        <v/>
      </c>
      <c r="AK27" s="489">
        <f>IF(C27&lt;&gt;"",AND(AI27,AC27),"")</f>
        <v/>
      </c>
      <c r="AL27" s="489">
        <f>IF(C27&lt;&gt;"",AND('THỐNG KÊ'!$E$5-'Thông tin HV'!D27&gt;=26,'THỐNG KÊ'!$E$5-'Thông tin HV'!D27&lt;=45),"")</f>
        <v/>
      </c>
      <c r="AM27" s="489">
        <f>IF(C27&lt;&gt;"",AND(AL27,E27="Nữ"),"")</f>
        <v/>
      </c>
      <c r="AN27" s="489">
        <f>IF(C27&lt;&gt;"",AND(AL27,AC27),"")</f>
        <v/>
      </c>
      <c r="AO27" s="489">
        <f>IF(C27&lt;&gt;"",'THỐNG KÊ'!$E$5-'Thông tin HV'!D27&gt;45,"")</f>
        <v/>
      </c>
      <c r="AP27" s="489">
        <f>IF(C27&lt;&gt;"",AND(AO27,E27="Nữ"),"")</f>
        <v/>
      </c>
      <c r="AQ27" s="489">
        <f>IF(C27&lt;&gt;"",AND(AO27,AC27),"")</f>
        <v/>
      </c>
      <c r="AR27" s="489">
        <f>IF(C27&lt;&gt;"",AND(Z27="x",E27="Nữ"),"")</f>
        <v/>
      </c>
      <c r="AS27" s="489">
        <f>IF(C27&lt;&gt;"",AND(Z27="x",E27="Nữ",L27="Người dân tộc thiểu số"),"")</f>
        <v/>
      </c>
      <c r="AT27" s="489">
        <f>IF(C27&lt;&gt;"",AND(Z27="x",L27="Người dân tộc thiểu số"),"")</f>
        <v/>
      </c>
      <c r="AU27" s="490">
        <f>IF(C27&lt;&gt;"",AND(Z27="x",'THỐNG KÊ'!$E$5-'Thông tin HV'!D27&lt;31),"")</f>
        <v/>
      </c>
      <c r="AV27" s="489">
        <f>IF(C27&lt;&gt;"",AND(Z27="x",AC27,AD27),"")</f>
        <v/>
      </c>
      <c r="AW27" s="489">
        <f>IF(C27&lt;&gt;"",AND(K27&gt;=9,Z27="x"),"")</f>
        <v/>
      </c>
      <c r="AX27" s="489">
        <f>IF(C27&lt;&gt;"",AND(Z27="x",AI27,E27="Nữ"),"")</f>
        <v/>
      </c>
      <c r="AY27" s="489">
        <f>IF(C27&lt;&gt;"",AND(Z27="x",AF27,AC27),"")</f>
        <v/>
      </c>
      <c r="AZ27" s="489">
        <f>IF(C27&lt;&gt;"",AND(Z27="x",'THỐNG KÊ'!$E$5-'Thông tin HV'!D27&lt;26),"")</f>
        <v/>
      </c>
      <c r="BA27" s="489">
        <f>IF(C27&lt;&gt;"",AND(Z27="x",AI27,E27="Nữ"),"")</f>
        <v/>
      </c>
      <c r="BB27" s="489">
        <f>IF(C27&lt;&gt;"",AND(Z27="x",AI27,AC27),"")</f>
        <v/>
      </c>
      <c r="BC27" s="489">
        <f>IF(C27&lt;&gt;"",AND(Z27="x",'THỐNG KÊ'!$E$5-'Thông tin HV'!D27&gt;=26,'THỐNG KÊ'!$E$5-'Thông tin HV'!D27&lt;=45),"")</f>
        <v/>
      </c>
      <c r="BD27" s="489">
        <f>IF(C27&lt;&gt;"",AND(Z27="x",AL27,E27="Nữ"),"")</f>
        <v/>
      </c>
      <c r="BE27" s="489">
        <f>IF(C27&lt;&gt;"",AND(Z27="x",AL27,AC27),"")</f>
        <v/>
      </c>
      <c r="BF27" s="489">
        <f>IF(C27&lt;&gt;"",AND(Z27="x",'THỐNG KÊ'!$E$5-'Thông tin HV'!D27&gt;45),"")</f>
        <v/>
      </c>
      <c r="BG27" s="489">
        <f>IF(C27&lt;&gt;"",AND(Z27="x",AO27,E27="Nữ"),"")</f>
        <v/>
      </c>
      <c r="BH27" s="489">
        <f>IF(C27&lt;&gt;"",AND(Z27="x",AO27,AC27),"")</f>
        <v/>
      </c>
    </row>
    <row r="28" ht="24" customFormat="1" customHeight="1" s="474">
      <c r="A28" s="475" t="inlineStr">
        <is>
          <t>25</t>
        </is>
      </c>
      <c r="B28" s="475" t="n"/>
      <c r="C28" s="476" t="inlineStr">
        <is>
          <t>A Phiên</t>
        </is>
      </c>
      <c r="D28" s="477" t="n">
        <v>30386</v>
      </c>
      <c r="E28" s="478" t="inlineStr">
        <is>
          <t>Nam</t>
        </is>
      </c>
      <c r="F28" s="479" t="n"/>
      <c r="G28" s="480" t="inlineStr">
        <is>
          <t>Xê Đăng</t>
        </is>
      </c>
      <c r="H28" s="478" t="n"/>
      <c r="I28" s="481">
        <f>IF(AA28="","",IF(AA28&lt;=30,"X",""))</f>
        <v/>
      </c>
      <c r="J28" s="481">
        <f>IF(AND(I28="X",G28&lt;&gt;"Kinh"),"X","")</f>
        <v/>
      </c>
      <c r="K28" s="482" t="n">
        <v>12</v>
      </c>
      <c r="L28" s="483" t="inlineStr">
        <is>
          <t>Người dân tộc thiểu số</t>
        </is>
      </c>
      <c r="M28" s="484">
        <f>VLOOKUP(L28,IDs!$H$3:$I$12,2,0)</f>
        <v/>
      </c>
      <c r="N28" s="485" t="inlineStr">
        <is>
          <t>Thôn ĐăkTrăm, xã Kon Đào, Quảng Ngãi</t>
        </is>
      </c>
      <c r="O28" s="485" t="inlineStr">
        <is>
          <t>Thôn ĐăkTrăm, xã Kon Đào, Quảng Ngãi</t>
        </is>
      </c>
      <c r="P28" s="485" t="inlineStr">
        <is>
          <t>Thôn ĐăkTrăm, xã Kon Đào, Quảng Ngãi</t>
        </is>
      </c>
      <c r="Q28" s="485" t="n"/>
      <c r="R28" s="486" t="n"/>
      <c r="S28" s="486" t="n"/>
      <c r="T28" s="486" t="n"/>
      <c r="U28" s="486" t="n"/>
      <c r="V28" s="486" t="n"/>
      <c r="W28" s="486" t="n"/>
      <c r="X28" s="487">
        <f>IF(D28="","",IF(YEAR(TODAY())-D28&lt;15,"Không đủ tuổi theo học",IF(AND(E28="Nam",YEAR(TODAY())-D28&gt;60),"Quá tuổi theo học",IF(AND(E28="Nữ",YEAR(TODAY())-D28&gt;55),"Quá tuổi theo học","Đảm bảo"))))</f>
        <v/>
      </c>
      <c r="Y28" s="487">
        <f>IF(C28="","",IF(OR(LEFT(C28,1)="Y",LEFT(C28,1)="A"),"",IF(L28&lt;&gt;"Đối tượng lao động nông thôn khác","Cần hồ sơ chứng minh nhóm đối tượng","")))</f>
        <v/>
      </c>
      <c r="Z28" s="488" t="n"/>
      <c r="AA28" s="481">
        <f>IF(OR(D28="",'KHÓA HỌC'!$D$8=""),"",DATEDIF(D28,'KHÓA HỌC'!$D$8,"y"))</f>
        <v/>
      </c>
      <c r="AB28" s="489">
        <f>IF(C28&lt;&gt;"",AND(E28="Nữ",L28="Người dân tộc thiểu số"),"")</f>
        <v/>
      </c>
      <c r="AC28" s="489">
        <f>IF(C28&lt;&gt;"",L28="Người dân tộc thiểu số","")</f>
        <v/>
      </c>
      <c r="AD28" s="490">
        <f>IF(C28&lt;&gt;"",'THỐNG KÊ'!$E$5-'Thông tin HV'!D28&lt;31,"")</f>
        <v/>
      </c>
      <c r="AE28" s="489">
        <f>IF(C28&lt;&gt;"",AND(AC28,AD28),"")</f>
        <v/>
      </c>
      <c r="AF28" s="489">
        <f>IF(C28&lt;&gt;"",(K28&gt;=9),"")</f>
        <v/>
      </c>
      <c r="AG28" s="489">
        <f>IF(C28&lt;&gt;"",AND(AF28,E28="Nữ"),"")</f>
        <v/>
      </c>
      <c r="AH28" s="489">
        <f>IF(C28&lt;&gt;"",AND(AF28,AC28),"")</f>
        <v/>
      </c>
      <c r="AI28" s="489">
        <f>IF(C28&lt;&gt;"",'THỐNG KÊ'!$E$5-'Thông tin HV'!D28&lt;26,"")</f>
        <v/>
      </c>
      <c r="AJ28" s="489">
        <f>IF(C28&lt;&gt;"",AND(AI28,E28="Nữ"),"")</f>
        <v/>
      </c>
      <c r="AK28" s="489">
        <f>IF(C28&lt;&gt;"",AND(AI28,AC28),"")</f>
        <v/>
      </c>
      <c r="AL28" s="489">
        <f>IF(C28&lt;&gt;"",AND('THỐNG KÊ'!$E$5-'Thông tin HV'!D28&gt;=26,'THỐNG KÊ'!$E$5-'Thông tin HV'!D28&lt;=45),"")</f>
        <v/>
      </c>
      <c r="AM28" s="489">
        <f>IF(C28&lt;&gt;"",AND(AL28,E28="Nữ"),"")</f>
        <v/>
      </c>
      <c r="AN28" s="489">
        <f>IF(C28&lt;&gt;"",AND(AL28,AC28),"")</f>
        <v/>
      </c>
      <c r="AO28" s="489">
        <f>IF(C28&lt;&gt;"",'THỐNG KÊ'!$E$5-'Thông tin HV'!D28&gt;45,"")</f>
        <v/>
      </c>
      <c r="AP28" s="489">
        <f>IF(C28&lt;&gt;"",AND(AO28,E28="Nữ"),"")</f>
        <v/>
      </c>
      <c r="AQ28" s="489">
        <f>IF(C28&lt;&gt;"",AND(AO28,AC28),"")</f>
        <v/>
      </c>
      <c r="AR28" s="489">
        <f>IF(C28&lt;&gt;"",AND(Z28="x",E28="Nữ"),"")</f>
        <v/>
      </c>
      <c r="AS28" s="489">
        <f>IF(C28&lt;&gt;"",AND(Z28="x",E28="Nữ",L28="Người dân tộc thiểu số"),"")</f>
        <v/>
      </c>
      <c r="AT28" s="489">
        <f>IF(C28&lt;&gt;"",AND(Z28="x",L28="Người dân tộc thiểu số"),"")</f>
        <v/>
      </c>
      <c r="AU28" s="490">
        <f>IF(C28&lt;&gt;"",AND(Z28="x",'THỐNG KÊ'!$E$5-'Thông tin HV'!D28&lt;31),"")</f>
        <v/>
      </c>
      <c r="AV28" s="489">
        <f>IF(C28&lt;&gt;"",AND(Z28="x",AC28,AD28),"")</f>
        <v/>
      </c>
      <c r="AW28" s="489">
        <f>IF(C28&lt;&gt;"",AND(K28&gt;=9,Z28="x"),"")</f>
        <v/>
      </c>
      <c r="AX28" s="489">
        <f>IF(C28&lt;&gt;"",AND(Z28="x",AI28,E28="Nữ"),"")</f>
        <v/>
      </c>
      <c r="AY28" s="489">
        <f>IF(C28&lt;&gt;"",AND(Z28="x",AF28,AC28),"")</f>
        <v/>
      </c>
      <c r="AZ28" s="489">
        <f>IF(C28&lt;&gt;"",AND(Z28="x",'THỐNG KÊ'!$E$5-'Thông tin HV'!D28&lt;26),"")</f>
        <v/>
      </c>
      <c r="BA28" s="489">
        <f>IF(C28&lt;&gt;"",AND(Z28="x",AI28,E28="Nữ"),"")</f>
        <v/>
      </c>
      <c r="BB28" s="489">
        <f>IF(C28&lt;&gt;"",AND(Z28="x",AI28,AC28),"")</f>
        <v/>
      </c>
      <c r="BC28" s="489">
        <f>IF(C28&lt;&gt;"",AND(Z28="x",'THỐNG KÊ'!$E$5-'Thông tin HV'!D28&gt;=26,'THỐNG KÊ'!$E$5-'Thông tin HV'!D28&lt;=45),"")</f>
        <v/>
      </c>
      <c r="BD28" s="489">
        <f>IF(C28&lt;&gt;"",AND(Z28="x",AL28,E28="Nữ"),"")</f>
        <v/>
      </c>
      <c r="BE28" s="489">
        <f>IF(C28&lt;&gt;"",AND(Z28="x",AL28,AC28),"")</f>
        <v/>
      </c>
      <c r="BF28" s="489">
        <f>IF(C28&lt;&gt;"",AND(Z28="x",'THỐNG KÊ'!$E$5-'Thông tin HV'!D28&gt;45),"")</f>
        <v/>
      </c>
      <c r="BG28" s="489">
        <f>IF(C28&lt;&gt;"",AND(Z28="x",AO28,E28="Nữ"),"")</f>
        <v/>
      </c>
      <c r="BH28" s="489">
        <f>IF(C28&lt;&gt;"",AND(Z28="x",AO28,AC28),"")</f>
        <v/>
      </c>
    </row>
    <row r="29" ht="24" customFormat="1" customHeight="1" s="474">
      <c r="A29" s="475" t="inlineStr">
        <is>
          <t>26</t>
        </is>
      </c>
      <c r="B29" s="491" t="n"/>
      <c r="C29" s="492" t="inlineStr">
        <is>
          <t>A Thoáng</t>
        </is>
      </c>
      <c r="D29" s="477" t="n">
        <v>30386</v>
      </c>
      <c r="E29" s="478" t="inlineStr">
        <is>
          <t>Nam</t>
        </is>
      </c>
      <c r="F29" s="479" t="n"/>
      <c r="G29" s="480" t="inlineStr">
        <is>
          <t>Xê Đăng</t>
        </is>
      </c>
      <c r="H29" s="478" t="n"/>
      <c r="I29" s="481">
        <f>IF(AA29="","",IF(AA29&lt;=30,"X",""))</f>
        <v/>
      </c>
      <c r="J29" s="481">
        <f>IF(AND(I29="X",G29&lt;&gt;"Kinh"),"X","")</f>
        <v/>
      </c>
      <c r="K29" s="482" t="n">
        <v>6</v>
      </c>
      <c r="L29" s="483" t="inlineStr">
        <is>
          <t>Người dân tộc thiểu số</t>
        </is>
      </c>
      <c r="M29" s="484">
        <f>VLOOKUP(L29,IDs!$H$3:$I$12,2,0)</f>
        <v/>
      </c>
      <c r="N29" s="485" t="inlineStr">
        <is>
          <t>Thôn ĐăkTrăm, xã Kon Đào, Quảng Ngãi</t>
        </is>
      </c>
      <c r="O29" s="485" t="inlineStr">
        <is>
          <t>Thôn ĐăkTrăm, xã Kon Đào, Quảng Ngãi</t>
        </is>
      </c>
      <c r="P29" s="485" t="inlineStr">
        <is>
          <t>Thôn ĐăkTrăm, xã Kon Đào, Quảng Ngãi</t>
        </is>
      </c>
      <c r="Q29" s="485" t="n"/>
      <c r="R29" s="486" t="n"/>
      <c r="S29" s="486" t="n"/>
      <c r="T29" s="486" t="n"/>
      <c r="U29" s="486" t="n"/>
      <c r="V29" s="486" t="n"/>
      <c r="W29" s="486" t="n"/>
      <c r="X29" s="487">
        <f>IF(D29="","",IF(YEAR(TODAY())-D29&lt;15,"Không đủ tuổi theo học",IF(AND(E29="Nam",YEAR(TODAY())-D29&gt;60),"Quá tuổi theo học",IF(AND(E29="Nữ",YEAR(TODAY())-D29&gt;55),"Quá tuổi theo học","Đảm bảo"))))</f>
        <v/>
      </c>
      <c r="Y29" s="487">
        <f>IF(C29="","",IF(OR(LEFT(C29,1)="Y",LEFT(C29,1)="A"),"",IF(L29&lt;&gt;"Đối tượng lao động nông thôn khác","Cần hồ sơ chứng minh nhóm đối tượng","")))</f>
        <v/>
      </c>
      <c r="Z29" s="488" t="n"/>
      <c r="AA29" s="481">
        <f>IF(OR(D29="",'KHÓA HỌC'!$D$8=""),"",DATEDIF(D29,'KHÓA HỌC'!$D$8,"y"))</f>
        <v/>
      </c>
      <c r="AB29" s="489">
        <f>IF(C29&lt;&gt;"",AND(E29="Nữ",L29="Người dân tộc thiểu số"),"")</f>
        <v/>
      </c>
      <c r="AC29" s="489">
        <f>IF(C29&lt;&gt;"",L29="Người dân tộc thiểu số","")</f>
        <v/>
      </c>
      <c r="AD29" s="490">
        <f>IF(C29&lt;&gt;"",'THỐNG KÊ'!$E$5-'Thông tin HV'!D29&lt;31,"")</f>
        <v/>
      </c>
      <c r="AE29" s="489">
        <f>IF(C29&lt;&gt;"",AND(AC29,AD29),"")</f>
        <v/>
      </c>
      <c r="AF29" s="489">
        <f>IF(C29&lt;&gt;"",(K29&gt;=9),"")</f>
        <v/>
      </c>
      <c r="AG29" s="489">
        <f>IF(C29&lt;&gt;"",AND(AF29,E29="Nữ"),"")</f>
        <v/>
      </c>
      <c r="AH29" s="489">
        <f>IF(C29&lt;&gt;"",AND(AF29,AC29),"")</f>
        <v/>
      </c>
      <c r="AI29" s="489">
        <f>IF(C29&lt;&gt;"",'THỐNG KÊ'!$E$5-'Thông tin HV'!D29&lt;26,"")</f>
        <v/>
      </c>
      <c r="AJ29" s="489">
        <f>IF(C29&lt;&gt;"",AND(AI29,E29="Nữ"),"")</f>
        <v/>
      </c>
      <c r="AK29" s="489">
        <f>IF(C29&lt;&gt;"",AND(AI29,AC29),"")</f>
        <v/>
      </c>
      <c r="AL29" s="489">
        <f>IF(C29&lt;&gt;"",AND('THỐNG KÊ'!$E$5-'Thông tin HV'!D29&gt;=26,'THỐNG KÊ'!$E$5-'Thông tin HV'!D29&lt;=45),"")</f>
        <v/>
      </c>
      <c r="AM29" s="489">
        <f>IF(C29&lt;&gt;"",AND(AL29,E29="Nữ"),"")</f>
        <v/>
      </c>
      <c r="AN29" s="489">
        <f>IF(C29&lt;&gt;"",AND(AL29,AC29),"")</f>
        <v/>
      </c>
      <c r="AO29" s="489">
        <f>IF(C29&lt;&gt;"",'THỐNG KÊ'!$E$5-'Thông tin HV'!D29&gt;45,"")</f>
        <v/>
      </c>
      <c r="AP29" s="489">
        <f>IF(C29&lt;&gt;"",AND(AO29,E29="Nữ"),"")</f>
        <v/>
      </c>
      <c r="AQ29" s="489">
        <f>IF(C29&lt;&gt;"",AND(AO29,AC29),"")</f>
        <v/>
      </c>
      <c r="AR29" s="489">
        <f>IF(C29&lt;&gt;"",AND(Z29="x",E29="Nữ"),"")</f>
        <v/>
      </c>
      <c r="AS29" s="489">
        <f>IF(C29&lt;&gt;"",AND(Z29="x",E29="Nữ",L29="Người dân tộc thiểu số"),"")</f>
        <v/>
      </c>
      <c r="AT29" s="489">
        <f>IF(C29&lt;&gt;"",AND(Z29="x",L29="Người dân tộc thiểu số"),"")</f>
        <v/>
      </c>
      <c r="AU29" s="490">
        <f>IF(C29&lt;&gt;"",AND(Z29="x",'THỐNG KÊ'!$E$5-'Thông tin HV'!D29&lt;31),"")</f>
        <v/>
      </c>
      <c r="AV29" s="489">
        <f>IF(C29&lt;&gt;"",AND(Z29="x",AC29,AD29),"")</f>
        <v/>
      </c>
      <c r="AW29" s="489">
        <f>IF(C29&lt;&gt;"",AND(K29&gt;=9,Z29="x"),"")</f>
        <v/>
      </c>
      <c r="AX29" s="489">
        <f>IF(C29&lt;&gt;"",AND(Z29="x",AI29,E29="Nữ"),"")</f>
        <v/>
      </c>
      <c r="AY29" s="489">
        <f>IF(C29&lt;&gt;"",AND(Z29="x",AF29,AC29),"")</f>
        <v/>
      </c>
      <c r="AZ29" s="489">
        <f>IF(C29&lt;&gt;"",AND(Z29="x",'THỐNG KÊ'!$E$5-'Thông tin HV'!D29&lt;26),"")</f>
        <v/>
      </c>
      <c r="BA29" s="489">
        <f>IF(C29&lt;&gt;"",AND(Z29="x",AI29,E29="Nữ"),"")</f>
        <v/>
      </c>
      <c r="BB29" s="489">
        <f>IF(C29&lt;&gt;"",AND(Z29="x",AI29,AC29),"")</f>
        <v/>
      </c>
      <c r="BC29" s="489">
        <f>IF(C29&lt;&gt;"",AND(Z29="x",'THỐNG KÊ'!$E$5-'Thông tin HV'!D29&gt;=26,'THỐNG KÊ'!$E$5-'Thông tin HV'!D29&lt;=45),"")</f>
        <v/>
      </c>
      <c r="BD29" s="489">
        <f>IF(C29&lt;&gt;"",AND(Z29="x",AL29,E29="Nữ"),"")</f>
        <v/>
      </c>
      <c r="BE29" s="489">
        <f>IF(C29&lt;&gt;"",AND(Z29="x",AL29,AC29),"")</f>
        <v/>
      </c>
      <c r="BF29" s="489">
        <f>IF(C29&lt;&gt;"",AND(Z29="x",'THỐNG KÊ'!$E$5-'Thông tin HV'!D29&gt;45),"")</f>
        <v/>
      </c>
      <c r="BG29" s="489">
        <f>IF(C29&lt;&gt;"",AND(Z29="x",AO29,E29="Nữ"),"")</f>
        <v/>
      </c>
      <c r="BH29" s="489">
        <f>IF(C29&lt;&gt;"",AND(Z29="x",AO29,AC29),"")</f>
        <v/>
      </c>
    </row>
    <row r="30" ht="24" customFormat="1" customHeight="1" s="474">
      <c r="A30" s="475" t="inlineStr">
        <is>
          <t>27</t>
        </is>
      </c>
      <c r="B30" s="475" t="n"/>
      <c r="C30" s="476" t="inlineStr">
        <is>
          <t>A Dão</t>
        </is>
      </c>
      <c r="D30" s="477" t="n">
        <v>30386</v>
      </c>
      <c r="E30" s="478" t="inlineStr">
        <is>
          <t>Nam</t>
        </is>
      </c>
      <c r="F30" s="479" t="n"/>
      <c r="G30" s="480" t="inlineStr">
        <is>
          <t>Xê Đăng</t>
        </is>
      </c>
      <c r="H30" s="478" t="n"/>
      <c r="I30" s="481">
        <f>IF(AA30="","",IF(AA30&lt;=30,"X",""))</f>
        <v/>
      </c>
      <c r="J30" s="481">
        <f>IF(AND(I30="X",G30&lt;&gt;"Kinh"),"X","")</f>
        <v/>
      </c>
      <c r="K30" s="482" t="n">
        <v>5</v>
      </c>
      <c r="L30" s="483" t="inlineStr">
        <is>
          <t>Người dân tộc thiểu số</t>
        </is>
      </c>
      <c r="M30" s="484">
        <f>VLOOKUP(L30,IDs!$H$3:$I$12,2,0)</f>
        <v/>
      </c>
      <c r="N30" s="485" t="inlineStr">
        <is>
          <t>Thôn ĐăkTrăm, xã Kon Đào, Quảng Ngãi</t>
        </is>
      </c>
      <c r="O30" s="485" t="inlineStr">
        <is>
          <t>Thôn ĐăkTrăm, xã Kon Đào, Quảng Ngãi</t>
        </is>
      </c>
      <c r="P30" s="485" t="inlineStr">
        <is>
          <t>Thôn ĐăkTrăm, xã Kon Đào, Quảng Ngãi</t>
        </is>
      </c>
      <c r="Q30" s="485" t="n"/>
      <c r="R30" s="486" t="n"/>
      <c r="S30" s="486" t="n"/>
      <c r="T30" s="486" t="n"/>
      <c r="U30" s="486" t="n"/>
      <c r="V30" s="486" t="n"/>
      <c r="W30" s="486" t="n"/>
      <c r="X30" s="487">
        <f>IF(D30="","",IF(YEAR(TODAY())-D30&lt;15,"Không đủ tuổi theo học",IF(AND(E30="Nam",YEAR(TODAY())-D30&gt;60),"Quá tuổi theo học",IF(AND(E30="Nữ",YEAR(TODAY())-D30&gt;55),"Quá tuổi theo học","Đảm bảo"))))</f>
        <v/>
      </c>
      <c r="Y30" s="487">
        <f>IF(C30="","",IF(OR(LEFT(C30,1)="Y",LEFT(C30,1)="A"),"",IF(L30&lt;&gt;"Đối tượng lao động nông thôn khác","Cần hồ sơ chứng minh nhóm đối tượng","")))</f>
        <v/>
      </c>
      <c r="Z30" s="488" t="n"/>
      <c r="AA30" s="481">
        <f>IF(OR(D30="",'KHÓA HỌC'!$D$8=""),"",DATEDIF(D30,'KHÓA HỌC'!$D$8,"y"))</f>
        <v/>
      </c>
      <c r="AB30" s="489">
        <f>IF(C30&lt;&gt;"",AND(E30="Nữ",L30="Người dân tộc thiểu số"),"")</f>
        <v/>
      </c>
      <c r="AC30" s="489">
        <f>IF(C30&lt;&gt;"",L30="Người dân tộc thiểu số","")</f>
        <v/>
      </c>
      <c r="AD30" s="490">
        <f>IF(C30&lt;&gt;"",'THỐNG KÊ'!$E$5-'Thông tin HV'!D30&lt;31,"")</f>
        <v/>
      </c>
      <c r="AE30" s="489">
        <f>IF(C30&lt;&gt;"",AND(AC30,AD30),"")</f>
        <v/>
      </c>
      <c r="AF30" s="489">
        <f>IF(C30&lt;&gt;"",(K30&gt;=9),"")</f>
        <v/>
      </c>
      <c r="AG30" s="489">
        <f>IF(C30&lt;&gt;"",AND(AF30,E30="Nữ"),"")</f>
        <v/>
      </c>
      <c r="AH30" s="489">
        <f>IF(C30&lt;&gt;"",AND(AF30,AC30),"")</f>
        <v/>
      </c>
      <c r="AI30" s="489">
        <f>IF(C30&lt;&gt;"",'THỐNG KÊ'!$E$5-'Thông tin HV'!D30&lt;26,"")</f>
        <v/>
      </c>
      <c r="AJ30" s="489">
        <f>IF(C30&lt;&gt;"",AND(AI30,E30="Nữ"),"")</f>
        <v/>
      </c>
      <c r="AK30" s="489">
        <f>IF(C30&lt;&gt;"",AND(AI30,AC30),"")</f>
        <v/>
      </c>
      <c r="AL30" s="489">
        <f>IF(C30&lt;&gt;"",AND('THỐNG KÊ'!$E$5-'Thông tin HV'!D30&gt;=26,'THỐNG KÊ'!$E$5-'Thông tin HV'!D30&lt;=45),"")</f>
        <v/>
      </c>
      <c r="AM30" s="489">
        <f>IF(C30&lt;&gt;"",AND(AL30,E30="Nữ"),"")</f>
        <v/>
      </c>
      <c r="AN30" s="489">
        <f>IF(C30&lt;&gt;"",AND(AL30,AC30),"")</f>
        <v/>
      </c>
      <c r="AO30" s="489">
        <f>IF(C30&lt;&gt;"",'THỐNG KÊ'!$E$5-'Thông tin HV'!D30&gt;45,"")</f>
        <v/>
      </c>
      <c r="AP30" s="489">
        <f>IF(C30&lt;&gt;"",AND(AO30,E30="Nữ"),"")</f>
        <v/>
      </c>
      <c r="AQ30" s="489">
        <f>IF(C30&lt;&gt;"",AND(AO30,AC30),"")</f>
        <v/>
      </c>
      <c r="AR30" s="489">
        <f>IF(C30&lt;&gt;"",AND(Z30="x",E30="Nữ"),"")</f>
        <v/>
      </c>
      <c r="AS30" s="489">
        <f>IF(C30&lt;&gt;"",AND(Z30="x",E30="Nữ",L30="Người dân tộc thiểu số"),"")</f>
        <v/>
      </c>
      <c r="AT30" s="489">
        <f>IF(C30&lt;&gt;"",AND(Z30="x",L30="Người dân tộc thiểu số"),"")</f>
        <v/>
      </c>
      <c r="AU30" s="490">
        <f>IF(C30&lt;&gt;"",AND(Z30="x",'THỐNG KÊ'!$E$5-'Thông tin HV'!D30&lt;31),"")</f>
        <v/>
      </c>
      <c r="AV30" s="489">
        <f>IF(C30&lt;&gt;"",AND(Z30="x",AC30,AD30),"")</f>
        <v/>
      </c>
      <c r="AW30" s="489">
        <f>IF(C30&lt;&gt;"",AND(K30&gt;=9,Z30="x"),"")</f>
        <v/>
      </c>
      <c r="AX30" s="489">
        <f>IF(C30&lt;&gt;"",AND(Z30="x",AI30,E30="Nữ"),"")</f>
        <v/>
      </c>
      <c r="AY30" s="489">
        <f>IF(C30&lt;&gt;"",AND(Z30="x",AF30,AC30),"")</f>
        <v/>
      </c>
      <c r="AZ30" s="489">
        <f>IF(C30&lt;&gt;"",AND(Z30="x",'THỐNG KÊ'!$E$5-'Thông tin HV'!D30&lt;26),"")</f>
        <v/>
      </c>
      <c r="BA30" s="489">
        <f>IF(C30&lt;&gt;"",AND(Z30="x",AI30,E30="Nữ"),"")</f>
        <v/>
      </c>
      <c r="BB30" s="489">
        <f>IF(C30&lt;&gt;"",AND(Z30="x",AI30,AC30),"")</f>
        <v/>
      </c>
      <c r="BC30" s="489">
        <f>IF(C30&lt;&gt;"",AND(Z30="x",'THỐNG KÊ'!$E$5-'Thông tin HV'!D30&gt;=26,'THỐNG KÊ'!$E$5-'Thông tin HV'!D30&lt;=45),"")</f>
        <v/>
      </c>
      <c r="BD30" s="489">
        <f>IF(C30&lt;&gt;"",AND(Z30="x",AL30,E30="Nữ"),"")</f>
        <v/>
      </c>
      <c r="BE30" s="489">
        <f>IF(C30&lt;&gt;"",AND(Z30="x",AL30,AC30),"")</f>
        <v/>
      </c>
      <c r="BF30" s="489">
        <f>IF(C30&lt;&gt;"",AND(Z30="x",'THỐNG KÊ'!$E$5-'Thông tin HV'!D30&gt;45),"")</f>
        <v/>
      </c>
      <c r="BG30" s="489">
        <f>IF(C30&lt;&gt;"",AND(Z30="x",AO30,E30="Nữ"),"")</f>
        <v/>
      </c>
      <c r="BH30" s="489">
        <f>IF(C30&lt;&gt;"",AND(Z30="x",AO30,AC30),"")</f>
        <v/>
      </c>
    </row>
    <row r="31" ht="24" customFormat="1" customHeight="1" s="474">
      <c r="A31" s="475" t="inlineStr">
        <is>
          <t>28</t>
        </is>
      </c>
      <c r="B31" s="475" t="n"/>
      <c r="C31" s="476" t="inlineStr">
        <is>
          <t>A Hải</t>
        </is>
      </c>
      <c r="D31" s="477" t="n">
        <v>30386</v>
      </c>
      <c r="E31" s="478" t="inlineStr">
        <is>
          <t>Nam</t>
        </is>
      </c>
      <c r="F31" s="479" t="n"/>
      <c r="G31" s="480" t="inlineStr">
        <is>
          <t>Xê Đăng</t>
        </is>
      </c>
      <c r="H31" s="478" t="n"/>
      <c r="I31" s="481">
        <f>IF(AA31="","",IF(AA31&lt;=30,"X",""))</f>
        <v/>
      </c>
      <c r="J31" s="481">
        <f>IF(AND(I31="X",G31&lt;&gt;"Kinh"),"X","")</f>
        <v/>
      </c>
      <c r="K31" s="482" t="n">
        <v>9</v>
      </c>
      <c r="L31" s="483" t="inlineStr">
        <is>
          <t>Người dân tộc thiểu số</t>
        </is>
      </c>
      <c r="M31" s="484">
        <f>VLOOKUP(L31,IDs!$H$3:$I$12,2,0)</f>
        <v/>
      </c>
      <c r="N31" s="485" t="inlineStr">
        <is>
          <t>Thôn ĐăkTrăm, xã Kon Đào, Quảng Ngãi</t>
        </is>
      </c>
      <c r="O31" s="485" t="inlineStr">
        <is>
          <t>Thôn ĐăkTrăm, xã Kon Đào, Quảng Ngãi</t>
        </is>
      </c>
      <c r="P31" s="485" t="inlineStr">
        <is>
          <t>Thôn ĐăkTrăm, xã Kon Đào, Quảng Ngãi</t>
        </is>
      </c>
      <c r="Q31" s="485" t="n"/>
      <c r="R31" s="486" t="n"/>
      <c r="S31" s="486" t="n"/>
      <c r="T31" s="486" t="n"/>
      <c r="U31" s="486" t="n"/>
      <c r="V31" s="486" t="n"/>
      <c r="W31" s="486" t="n"/>
      <c r="X31" s="487">
        <f>IF(D31="","",IF(YEAR(TODAY())-D31&lt;15,"Không đủ tuổi theo học",IF(AND(E31="Nam",YEAR(TODAY())-D31&gt;60),"Quá tuổi theo học",IF(AND(E31="Nữ",YEAR(TODAY())-D31&gt;55),"Quá tuổi theo học","Đảm bảo"))))</f>
        <v/>
      </c>
      <c r="Y31" s="487">
        <f>IF(C31="","",IF(OR(LEFT(C31,1)="Y",LEFT(C31,1)="A"),"",IF(L31&lt;&gt;"Đối tượng lao động nông thôn khác","Cần hồ sơ chứng minh nhóm đối tượng","")))</f>
        <v/>
      </c>
      <c r="Z31" s="488" t="n"/>
      <c r="AA31" s="481">
        <f>IF(OR(D31="",'KHÓA HỌC'!$D$8=""),"",DATEDIF(D31,'KHÓA HỌC'!$D$8,"y"))</f>
        <v/>
      </c>
      <c r="AB31" s="489">
        <f>IF(C31&lt;&gt;"",AND(E31="Nữ",L31="Người dân tộc thiểu số"),"")</f>
        <v/>
      </c>
      <c r="AC31" s="489">
        <f>IF(C31&lt;&gt;"",L31="Người dân tộc thiểu số","")</f>
        <v/>
      </c>
      <c r="AD31" s="490">
        <f>IF(C31&lt;&gt;"",'THỐNG KÊ'!$E$5-'Thông tin HV'!D31&lt;31,"")</f>
        <v/>
      </c>
      <c r="AE31" s="489">
        <f>IF(C31&lt;&gt;"",AND(AC31,AD31),"")</f>
        <v/>
      </c>
      <c r="AF31" s="489">
        <f>IF(C31&lt;&gt;"",(K31&gt;=9),"")</f>
        <v/>
      </c>
      <c r="AG31" s="489">
        <f>IF(C31&lt;&gt;"",AND(AF31,E31="Nữ"),"")</f>
        <v/>
      </c>
      <c r="AH31" s="489">
        <f>IF(C31&lt;&gt;"",AND(AF31,AC31),"")</f>
        <v/>
      </c>
      <c r="AI31" s="489">
        <f>IF(C31&lt;&gt;"",'THỐNG KÊ'!$E$5-'Thông tin HV'!D31&lt;26,"")</f>
        <v/>
      </c>
      <c r="AJ31" s="489">
        <f>IF(C31&lt;&gt;"",AND(AI31,E31="Nữ"),"")</f>
        <v/>
      </c>
      <c r="AK31" s="489">
        <f>IF(C31&lt;&gt;"",AND(AI31,AC31),"")</f>
        <v/>
      </c>
      <c r="AL31" s="489">
        <f>IF(C31&lt;&gt;"",AND('THỐNG KÊ'!$E$5-'Thông tin HV'!D31&gt;=26,'THỐNG KÊ'!$E$5-'Thông tin HV'!D31&lt;=45),"")</f>
        <v/>
      </c>
      <c r="AM31" s="489">
        <f>IF(C31&lt;&gt;"",AND(AL31,E31="Nữ"),"")</f>
        <v/>
      </c>
      <c r="AN31" s="489">
        <f>IF(C31&lt;&gt;"",AND(AL31,AC31),"")</f>
        <v/>
      </c>
      <c r="AO31" s="489">
        <f>IF(C31&lt;&gt;"",'THỐNG KÊ'!$E$5-'Thông tin HV'!D31&gt;45,"")</f>
        <v/>
      </c>
      <c r="AP31" s="489">
        <f>IF(C31&lt;&gt;"",AND(AO31,E31="Nữ"),"")</f>
        <v/>
      </c>
      <c r="AQ31" s="489">
        <f>IF(C31&lt;&gt;"",AND(AO31,AC31),"")</f>
        <v/>
      </c>
      <c r="AR31" s="489">
        <f>IF(C31&lt;&gt;"",AND(Z31="x",E31="Nữ"),"")</f>
        <v/>
      </c>
      <c r="AS31" s="489">
        <f>IF(C31&lt;&gt;"",AND(Z31="x",E31="Nữ",L31="Người dân tộc thiểu số"),"")</f>
        <v/>
      </c>
      <c r="AT31" s="489">
        <f>IF(C31&lt;&gt;"",AND(Z31="x",L31="Người dân tộc thiểu số"),"")</f>
        <v/>
      </c>
      <c r="AU31" s="490">
        <f>IF(C31&lt;&gt;"",AND(Z31="x",'THỐNG KÊ'!$E$5-'Thông tin HV'!D31&lt;31),"")</f>
        <v/>
      </c>
      <c r="AV31" s="489">
        <f>IF(C31&lt;&gt;"",AND(Z31="x",AC31,AD31),"")</f>
        <v/>
      </c>
      <c r="AW31" s="489">
        <f>IF(C31&lt;&gt;"",AND(K31&gt;=9,Z31="x"),"")</f>
        <v/>
      </c>
      <c r="AX31" s="489">
        <f>IF(C31&lt;&gt;"",AND(Z31="x",AI31,E31="Nữ"),"")</f>
        <v/>
      </c>
      <c r="AY31" s="489">
        <f>IF(C31&lt;&gt;"",AND(Z31="x",AF31,AC31),"")</f>
        <v/>
      </c>
      <c r="AZ31" s="489">
        <f>IF(C31&lt;&gt;"",AND(Z31="x",'THỐNG KÊ'!$E$5-'Thông tin HV'!D31&lt;26),"")</f>
        <v/>
      </c>
      <c r="BA31" s="489">
        <f>IF(C31&lt;&gt;"",AND(Z31="x",AI31,E31="Nữ"),"")</f>
        <v/>
      </c>
      <c r="BB31" s="489">
        <f>IF(C31&lt;&gt;"",AND(Z31="x",AI31,AC31),"")</f>
        <v/>
      </c>
      <c r="BC31" s="489">
        <f>IF(C31&lt;&gt;"",AND(Z31="x",'THỐNG KÊ'!$E$5-'Thông tin HV'!D31&gt;=26,'THỐNG KÊ'!$E$5-'Thông tin HV'!D31&lt;=45),"")</f>
        <v/>
      </c>
      <c r="BD31" s="489">
        <f>IF(C31&lt;&gt;"",AND(Z31="x",AL31,E31="Nữ"),"")</f>
        <v/>
      </c>
      <c r="BE31" s="489">
        <f>IF(C31&lt;&gt;"",AND(Z31="x",AL31,AC31),"")</f>
        <v/>
      </c>
      <c r="BF31" s="489">
        <f>IF(C31&lt;&gt;"",AND(Z31="x",'THỐNG KÊ'!$E$5-'Thông tin HV'!D31&gt;45),"")</f>
        <v/>
      </c>
      <c r="BG31" s="489">
        <f>IF(C31&lt;&gt;"",AND(Z31="x",AO31,E31="Nữ"),"")</f>
        <v/>
      </c>
      <c r="BH31" s="489">
        <f>IF(C31&lt;&gt;"",AND(Z31="x",AO31,AC31),"")</f>
        <v/>
      </c>
    </row>
    <row r="32" ht="24" customFormat="1" customHeight="1" s="474">
      <c r="A32" s="475" t="inlineStr">
        <is>
          <t>29</t>
        </is>
      </c>
      <c r="B32" s="475" t="n"/>
      <c r="C32" s="476" t="inlineStr">
        <is>
          <t>Y HVang</t>
        </is>
      </c>
      <c r="D32" s="477" t="n">
        <v>30386</v>
      </c>
      <c r="E32" s="478" t="inlineStr">
        <is>
          <t>Nữ</t>
        </is>
      </c>
      <c r="F32" s="479" t="n"/>
      <c r="G32" s="480" t="inlineStr">
        <is>
          <t>Xê Đăng</t>
        </is>
      </c>
      <c r="H32" s="478" t="n"/>
      <c r="I32" s="481">
        <f>IF(AA32="","",IF(AA32&lt;=30,"X",""))</f>
        <v/>
      </c>
      <c r="J32" s="481">
        <f>IF(AND(I32="X",G32&lt;&gt;"Kinh"),"X","")</f>
        <v/>
      </c>
      <c r="K32" s="482" t="n">
        <v>9</v>
      </c>
      <c r="L32" s="483" t="inlineStr">
        <is>
          <t>Người dân tộc thiểu số</t>
        </is>
      </c>
      <c r="M32" s="484">
        <f>VLOOKUP(L32,IDs!$H$3:$I$12,2,0)</f>
        <v/>
      </c>
      <c r="N32" s="485" t="inlineStr">
        <is>
          <t>Thôn ĐăkTrăm, xã Kon Đào, Quảng Ngãi</t>
        </is>
      </c>
      <c r="O32" s="485" t="inlineStr">
        <is>
          <t>Thôn ĐăkTrăm, xã Kon Đào, Quảng Ngãi</t>
        </is>
      </c>
      <c r="P32" s="485" t="inlineStr">
        <is>
          <t>Thôn ĐăkTrăm, xã Kon Đào, Quảng Ngãi</t>
        </is>
      </c>
      <c r="Q32" s="485" t="n"/>
      <c r="R32" s="486" t="n"/>
      <c r="S32" s="486" t="n"/>
      <c r="T32" s="486" t="n"/>
      <c r="U32" s="486" t="n"/>
      <c r="V32" s="486" t="n"/>
      <c r="W32" s="486" t="n"/>
      <c r="X32" s="487">
        <f>IF(D32="","",IF(YEAR(TODAY())-D32&lt;15,"Không đủ tuổi theo học",IF(AND(E32="Nam",YEAR(TODAY())-D32&gt;60),"Quá tuổi theo học",IF(AND(E32="Nữ",YEAR(TODAY())-D32&gt;55),"Quá tuổi theo học","Đảm bảo"))))</f>
        <v/>
      </c>
      <c r="Y32" s="487">
        <f>IF(C32="","",IF(OR(LEFT(C32,1)="Y",LEFT(C32,1)="A"),"",IF(L32&lt;&gt;"Đối tượng lao động nông thôn khác","Cần hồ sơ chứng minh nhóm đối tượng","")))</f>
        <v/>
      </c>
      <c r="Z32" s="488" t="n"/>
      <c r="AA32" s="481">
        <f>IF(OR(D32="",'KHÓA HỌC'!$D$8=""),"",DATEDIF(D32,'KHÓA HỌC'!$D$8,"y"))</f>
        <v/>
      </c>
      <c r="AB32" s="489">
        <f>IF(C32&lt;&gt;"",AND(E32="Nữ",L32="Người dân tộc thiểu số"),"")</f>
        <v/>
      </c>
      <c r="AC32" s="489">
        <f>IF(C32&lt;&gt;"",L32="Người dân tộc thiểu số","")</f>
        <v/>
      </c>
      <c r="AD32" s="490">
        <f>IF(C32&lt;&gt;"",'THỐNG KÊ'!$E$5-'Thông tin HV'!D32&lt;31,"")</f>
        <v/>
      </c>
      <c r="AE32" s="489">
        <f>IF(C32&lt;&gt;"",AND(AC32,AD32),"")</f>
        <v/>
      </c>
      <c r="AF32" s="489">
        <f>IF(C32&lt;&gt;"",(K32&gt;=9),"")</f>
        <v/>
      </c>
      <c r="AG32" s="489">
        <f>IF(C32&lt;&gt;"",AND(AF32,E32="Nữ"),"")</f>
        <v/>
      </c>
      <c r="AH32" s="489">
        <f>IF(C32&lt;&gt;"",AND(AF32,AC32),"")</f>
        <v/>
      </c>
      <c r="AI32" s="489">
        <f>IF(C32&lt;&gt;"",'THỐNG KÊ'!$E$5-'Thông tin HV'!D32&lt;26,"")</f>
        <v/>
      </c>
      <c r="AJ32" s="489">
        <f>IF(C32&lt;&gt;"",AND(AI32,E32="Nữ"),"")</f>
        <v/>
      </c>
      <c r="AK32" s="489">
        <f>IF(C32&lt;&gt;"",AND(AI32,AC32),"")</f>
        <v/>
      </c>
      <c r="AL32" s="489">
        <f>IF(C32&lt;&gt;"",AND('THỐNG KÊ'!$E$5-'Thông tin HV'!D32&gt;=26,'THỐNG KÊ'!$E$5-'Thông tin HV'!D32&lt;=45),"")</f>
        <v/>
      </c>
      <c r="AM32" s="489">
        <f>IF(C32&lt;&gt;"",AND(AL32,E32="Nữ"),"")</f>
        <v/>
      </c>
      <c r="AN32" s="489">
        <f>IF(C32&lt;&gt;"",AND(AL32,AC32),"")</f>
        <v/>
      </c>
      <c r="AO32" s="489">
        <f>IF(C32&lt;&gt;"",'THỐNG KÊ'!$E$5-'Thông tin HV'!D32&gt;45,"")</f>
        <v/>
      </c>
      <c r="AP32" s="489">
        <f>IF(C32&lt;&gt;"",AND(AO32,E32="Nữ"),"")</f>
        <v/>
      </c>
      <c r="AQ32" s="489">
        <f>IF(C32&lt;&gt;"",AND(AO32,AC32),"")</f>
        <v/>
      </c>
      <c r="AR32" s="489">
        <f>IF(C32&lt;&gt;"",AND(Z32="x",E32="Nữ"),"")</f>
        <v/>
      </c>
      <c r="AS32" s="489">
        <f>IF(C32&lt;&gt;"",AND(Z32="x",E32="Nữ",L32="Người dân tộc thiểu số"),"")</f>
        <v/>
      </c>
      <c r="AT32" s="489">
        <f>IF(C32&lt;&gt;"",AND(Z32="x",L32="Người dân tộc thiểu số"),"")</f>
        <v/>
      </c>
      <c r="AU32" s="490">
        <f>IF(C32&lt;&gt;"",AND(Z32="x",'THỐNG KÊ'!$E$5-'Thông tin HV'!D32&lt;31),"")</f>
        <v/>
      </c>
      <c r="AV32" s="489">
        <f>IF(C32&lt;&gt;"",AND(Z32="x",AC32,AD32),"")</f>
        <v/>
      </c>
      <c r="AW32" s="489">
        <f>IF(C32&lt;&gt;"",AND(K32&gt;=9,Z32="x"),"")</f>
        <v/>
      </c>
      <c r="AX32" s="489">
        <f>IF(C32&lt;&gt;"",AND(Z32="x",AI32,E32="Nữ"),"")</f>
        <v/>
      </c>
      <c r="AY32" s="489">
        <f>IF(C32&lt;&gt;"",AND(Z32="x",AF32,AC32),"")</f>
        <v/>
      </c>
      <c r="AZ32" s="489">
        <f>IF(C32&lt;&gt;"",AND(Z32="x",'THỐNG KÊ'!$E$5-'Thông tin HV'!D32&lt;26),"")</f>
        <v/>
      </c>
      <c r="BA32" s="489">
        <f>IF(C32&lt;&gt;"",AND(Z32="x",AI32,E32="Nữ"),"")</f>
        <v/>
      </c>
      <c r="BB32" s="489">
        <f>IF(C32&lt;&gt;"",AND(Z32="x",AI32,AC32),"")</f>
        <v/>
      </c>
      <c r="BC32" s="489">
        <f>IF(C32&lt;&gt;"",AND(Z32="x",'THỐNG KÊ'!$E$5-'Thông tin HV'!D32&gt;=26,'THỐNG KÊ'!$E$5-'Thông tin HV'!D32&lt;=45),"")</f>
        <v/>
      </c>
      <c r="BD32" s="489">
        <f>IF(C32&lt;&gt;"",AND(Z32="x",AL32,E32="Nữ"),"")</f>
        <v/>
      </c>
      <c r="BE32" s="489">
        <f>IF(C32&lt;&gt;"",AND(Z32="x",AL32,AC32),"")</f>
        <v/>
      </c>
      <c r="BF32" s="489">
        <f>IF(C32&lt;&gt;"",AND(Z32="x",'THỐNG KÊ'!$E$5-'Thông tin HV'!D32&gt;45),"")</f>
        <v/>
      </c>
      <c r="BG32" s="489">
        <f>IF(C32&lt;&gt;"",AND(Z32="x",AO32,E32="Nữ"),"")</f>
        <v/>
      </c>
      <c r="BH32" s="489">
        <f>IF(C32&lt;&gt;"",AND(Z32="x",AO32,AC32),"")</f>
        <v/>
      </c>
    </row>
    <row r="33" ht="24" customFormat="1" customHeight="1" s="474">
      <c r="A33" s="475" t="inlineStr">
        <is>
          <t>30</t>
        </is>
      </c>
      <c r="B33" s="475" t="n"/>
      <c r="C33" s="476" t="inlineStr">
        <is>
          <t>Y Khiêm</t>
        </is>
      </c>
      <c r="D33" s="477" t="n">
        <v>30386</v>
      </c>
      <c r="E33" s="478" t="inlineStr">
        <is>
          <t>Nữ</t>
        </is>
      </c>
      <c r="F33" s="479" t="n"/>
      <c r="G33" s="480" t="inlineStr">
        <is>
          <t>Xê Đăng</t>
        </is>
      </c>
      <c r="H33" s="478" t="n"/>
      <c r="I33" s="481">
        <f>IF(AA33="","",IF(AA33&lt;=30,"X",""))</f>
        <v/>
      </c>
      <c r="J33" s="481">
        <f>IF(AND(I33="X",G33&lt;&gt;"Kinh"),"X","")</f>
        <v/>
      </c>
      <c r="K33" s="482" t="n">
        <v>5</v>
      </c>
      <c r="L33" s="483" t="inlineStr">
        <is>
          <t>Người dân tộc thiểu số</t>
        </is>
      </c>
      <c r="M33" s="484">
        <f>VLOOKUP(L33,IDs!$H$3:$I$12,2,0)</f>
        <v/>
      </c>
      <c r="N33" s="485" t="inlineStr">
        <is>
          <t>Thôn ĐăkTrăm, xã Kon Đào, Quảng Ngãi</t>
        </is>
      </c>
      <c r="O33" s="485" t="inlineStr">
        <is>
          <t>Thôn ĐăkTrăm, xã Kon Đào, Quảng Ngãi</t>
        </is>
      </c>
      <c r="P33" s="485" t="inlineStr">
        <is>
          <t>Thôn ĐăkTrăm, xã Kon Đào, Quảng Ngãi</t>
        </is>
      </c>
      <c r="Q33" s="485" t="n"/>
      <c r="R33" s="486" t="n"/>
      <c r="S33" s="486" t="n"/>
      <c r="T33" s="486" t="n"/>
      <c r="U33" s="486" t="n"/>
      <c r="V33" s="486" t="n"/>
      <c r="W33" s="486" t="n"/>
      <c r="X33" s="487">
        <f>IF(D33="","",IF(YEAR(TODAY())-D33&lt;15,"Không đủ tuổi theo học",IF(AND(E33="Nam",YEAR(TODAY())-D33&gt;60),"Quá tuổi theo học",IF(AND(E33="Nữ",YEAR(TODAY())-D33&gt;55),"Quá tuổi theo học","Đảm bảo"))))</f>
        <v/>
      </c>
      <c r="Y33" s="487">
        <f>IF(C33="","",IF(OR(LEFT(C33,1)="Y",LEFT(C33,1)="A"),"",IF(L33&lt;&gt;"Đối tượng lao động nông thôn khác","Cần hồ sơ chứng minh nhóm đối tượng","")))</f>
        <v/>
      </c>
      <c r="Z33" s="488" t="n"/>
      <c r="AA33" s="481">
        <f>IF(OR(D33="",'KHÓA HỌC'!$D$8=""),"",DATEDIF(D33,'KHÓA HỌC'!$D$8,"y"))</f>
        <v/>
      </c>
      <c r="AB33" s="489">
        <f>IF(C33&lt;&gt;"",AND(E33="Nữ",L33="Người dân tộc thiểu số"),"")</f>
        <v/>
      </c>
      <c r="AC33" s="489">
        <f>IF(C33&lt;&gt;"",L33="Người dân tộc thiểu số","")</f>
        <v/>
      </c>
      <c r="AD33" s="490">
        <f>IF(C33&lt;&gt;"",'THỐNG KÊ'!$E$5-'Thông tin HV'!D33&lt;31,"")</f>
        <v/>
      </c>
      <c r="AE33" s="489">
        <f>IF(C33&lt;&gt;"",AND(AC33,AD33),"")</f>
        <v/>
      </c>
      <c r="AF33" s="489">
        <f>IF(C33&lt;&gt;"",(K33&gt;=9),"")</f>
        <v/>
      </c>
      <c r="AG33" s="489">
        <f>IF(C33&lt;&gt;"",AND(AF33,E33="Nữ"),"")</f>
        <v/>
      </c>
      <c r="AH33" s="489">
        <f>IF(C33&lt;&gt;"",AND(AF33,AC33),"")</f>
        <v/>
      </c>
      <c r="AI33" s="489">
        <f>IF(C33&lt;&gt;"",'THỐNG KÊ'!$E$5-'Thông tin HV'!D33&lt;26,"")</f>
        <v/>
      </c>
      <c r="AJ33" s="489">
        <f>IF(C33&lt;&gt;"",AND(AI33,E33="Nữ"),"")</f>
        <v/>
      </c>
      <c r="AK33" s="489">
        <f>IF(C33&lt;&gt;"",AND(AI33,AC33),"")</f>
        <v/>
      </c>
      <c r="AL33" s="489">
        <f>IF(C33&lt;&gt;"",AND('THỐNG KÊ'!$E$5-'Thông tin HV'!D33&gt;=26,'THỐNG KÊ'!$E$5-'Thông tin HV'!D33&lt;=45),"")</f>
        <v/>
      </c>
      <c r="AM33" s="489">
        <f>IF(C33&lt;&gt;"",AND(AL33,E33="Nữ"),"")</f>
        <v/>
      </c>
      <c r="AN33" s="489">
        <f>IF(C33&lt;&gt;"",AND(AL33,AC33),"")</f>
        <v/>
      </c>
      <c r="AO33" s="489">
        <f>IF(C33&lt;&gt;"",'THỐNG KÊ'!$E$5-'Thông tin HV'!D33&gt;45,"")</f>
        <v/>
      </c>
      <c r="AP33" s="489">
        <f>IF(C33&lt;&gt;"",AND(AO33,E33="Nữ"),"")</f>
        <v/>
      </c>
      <c r="AQ33" s="489">
        <f>IF(C33&lt;&gt;"",AND(AO33,AC33),"")</f>
        <v/>
      </c>
      <c r="AR33" s="489">
        <f>IF(C33&lt;&gt;"",AND(Z33="x",E33="Nữ"),"")</f>
        <v/>
      </c>
      <c r="AS33" s="489">
        <f>IF(C33&lt;&gt;"",AND(Z33="x",E33="Nữ",L33="Người dân tộc thiểu số"),"")</f>
        <v/>
      </c>
      <c r="AT33" s="489">
        <f>IF(C33&lt;&gt;"",AND(Z33="x",L33="Người dân tộc thiểu số"),"")</f>
        <v/>
      </c>
      <c r="AU33" s="490">
        <f>IF(C33&lt;&gt;"",AND(Z33="x",'THỐNG KÊ'!$E$5-'Thông tin HV'!D33&lt;31),"")</f>
        <v/>
      </c>
      <c r="AV33" s="489">
        <f>IF(C33&lt;&gt;"",AND(Z33="x",AC33,AD33),"")</f>
        <v/>
      </c>
      <c r="AW33" s="489">
        <f>IF(C33&lt;&gt;"",AND(K33&gt;=9,Z33="x"),"")</f>
        <v/>
      </c>
      <c r="AX33" s="489">
        <f>IF(C33&lt;&gt;"",AND(Z33="x",AI33,E33="Nữ"),"")</f>
        <v/>
      </c>
      <c r="AY33" s="489">
        <f>IF(C33&lt;&gt;"",AND(Z33="x",AF33,AC33),"")</f>
        <v/>
      </c>
      <c r="AZ33" s="489">
        <f>IF(C33&lt;&gt;"",AND(Z33="x",'THỐNG KÊ'!$E$5-'Thông tin HV'!D33&lt;26),"")</f>
        <v/>
      </c>
      <c r="BA33" s="489">
        <f>IF(C33&lt;&gt;"",AND(Z33="x",AI33,E33="Nữ"),"")</f>
        <v/>
      </c>
      <c r="BB33" s="489">
        <f>IF(C33&lt;&gt;"",AND(Z33="x",AI33,AC33),"")</f>
        <v/>
      </c>
      <c r="BC33" s="489">
        <f>IF(C33&lt;&gt;"",AND(Z33="x",'THỐNG KÊ'!$E$5-'Thông tin HV'!D33&gt;=26,'THỐNG KÊ'!$E$5-'Thông tin HV'!D33&lt;=45),"")</f>
        <v/>
      </c>
      <c r="BD33" s="489">
        <f>IF(C33&lt;&gt;"",AND(Z33="x",AL33,E33="Nữ"),"")</f>
        <v/>
      </c>
      <c r="BE33" s="489">
        <f>IF(C33&lt;&gt;"",AND(Z33="x",AL33,AC33),"")</f>
        <v/>
      </c>
      <c r="BF33" s="489">
        <f>IF(C33&lt;&gt;"",AND(Z33="x",'THỐNG KÊ'!$E$5-'Thông tin HV'!D33&gt;45),"")</f>
        <v/>
      </c>
      <c r="BG33" s="489">
        <f>IF(C33&lt;&gt;"",AND(Z33="x",AO33,E33="Nữ"),"")</f>
        <v/>
      </c>
      <c r="BH33" s="489">
        <f>IF(C33&lt;&gt;"",AND(Z33="x",AO33,AC33),"")</f>
        <v/>
      </c>
    </row>
    <row r="34" ht="24" customFormat="1" customHeight="1" s="474">
      <c r="A34" s="475" t="inlineStr">
        <is>
          <t>31</t>
        </is>
      </c>
      <c r="B34" s="475" t="n"/>
      <c r="C34" s="476" t="inlineStr">
        <is>
          <t>Y Khuy</t>
        </is>
      </c>
      <c r="D34" s="477" t="n">
        <v>30386</v>
      </c>
      <c r="E34" s="478" t="inlineStr">
        <is>
          <t>Nữ</t>
        </is>
      </c>
      <c r="F34" s="479" t="n"/>
      <c r="G34" s="480" t="inlineStr">
        <is>
          <t>Xê Đăng</t>
        </is>
      </c>
      <c r="H34" s="478" t="n"/>
      <c r="I34" s="481">
        <f>IF(AA34="","",IF(AA34&lt;=30,"X",""))</f>
        <v/>
      </c>
      <c r="J34" s="481">
        <f>IF(AND(I34="X",G34&lt;&gt;"Kinh"),"X","")</f>
        <v/>
      </c>
      <c r="K34" s="482" t="n">
        <v>9</v>
      </c>
      <c r="L34" s="483" t="inlineStr">
        <is>
          <t>Người dân tộc thiểu số</t>
        </is>
      </c>
      <c r="M34" s="484">
        <f>VLOOKUP(L34,IDs!$H$3:$I$12,2,0)</f>
        <v/>
      </c>
      <c r="N34" s="485" t="inlineStr">
        <is>
          <t>Thôn ĐăkTrăm, xã Kon Đào, Quảng Ngãi</t>
        </is>
      </c>
      <c r="O34" s="485" t="inlineStr">
        <is>
          <t>Thôn ĐăkTrăm, xã Kon Đào, Quảng Ngãi</t>
        </is>
      </c>
      <c r="P34" s="485" t="inlineStr">
        <is>
          <t>Thôn ĐăkTrăm, xã Kon Đào, Quảng Ngãi</t>
        </is>
      </c>
      <c r="Q34" s="485" t="n"/>
      <c r="R34" s="486" t="n"/>
      <c r="S34" s="486" t="n"/>
      <c r="T34" s="486" t="n"/>
      <c r="U34" s="486" t="n"/>
      <c r="V34" s="486" t="n"/>
      <c r="W34" s="486" t="n"/>
      <c r="X34" s="487">
        <f>IF(D34="","",IF(YEAR(TODAY())-D34&lt;15,"Không đủ tuổi theo học",IF(AND(E34="Nam",YEAR(TODAY())-D34&gt;60),"Quá tuổi theo học",IF(AND(E34="Nữ",YEAR(TODAY())-D34&gt;55),"Quá tuổi theo học","Đảm bảo"))))</f>
        <v/>
      </c>
      <c r="Y34" s="487" t="n"/>
      <c r="Z34" s="488" t="n"/>
      <c r="AA34" s="481">
        <f>IF(OR(D34="",'KHÓA HỌC'!$D$8=""),"",DATEDIF(D34,'KHÓA HỌC'!$D$8,"y"))</f>
        <v/>
      </c>
      <c r="AB34" s="489" t="n"/>
      <c r="AC34" s="489" t="n"/>
      <c r="AD34" s="490" t="n"/>
      <c r="AE34" s="489" t="n"/>
      <c r="AF34" s="489">
        <f>IF(C34&lt;&gt;"",(K34&gt;=9),"")</f>
        <v/>
      </c>
      <c r="AG34" s="489">
        <f>IF(C34&lt;&gt;"",AND(AF34,E34="Nữ"),"")</f>
        <v/>
      </c>
      <c r="AH34" s="489" t="n"/>
      <c r="AI34" s="489" t="n"/>
      <c r="AJ34" s="489" t="n"/>
      <c r="AK34" s="489" t="n"/>
      <c r="AL34" s="489" t="n"/>
      <c r="AM34" s="489" t="n"/>
      <c r="AN34" s="489" t="n"/>
      <c r="AO34" s="489" t="n"/>
      <c r="AP34" s="489" t="n"/>
      <c r="AQ34" s="489" t="n"/>
      <c r="AR34" s="489" t="n"/>
      <c r="AS34" s="489" t="n"/>
      <c r="AT34" s="489" t="n"/>
      <c r="AU34" s="490" t="n"/>
      <c r="AV34" s="489" t="n"/>
      <c r="AW34" s="489" t="n"/>
      <c r="AX34" s="489" t="n"/>
      <c r="AY34" s="489" t="n"/>
      <c r="AZ34" s="489" t="n"/>
      <c r="BA34" s="489" t="n"/>
      <c r="BB34" s="489" t="n"/>
      <c r="BC34" s="489" t="n"/>
      <c r="BD34" s="489" t="n"/>
      <c r="BE34" s="489" t="n"/>
      <c r="BF34" s="489" t="n"/>
      <c r="BG34" s="489" t="n"/>
      <c r="BH34" s="489" t="n"/>
    </row>
    <row r="35" ht="24" customFormat="1" customHeight="1" s="474">
      <c r="A35" s="475" t="inlineStr">
        <is>
          <t>32</t>
        </is>
      </c>
      <c r="B35" s="475" t="n"/>
      <c r="C35" s="476" t="inlineStr">
        <is>
          <t>Y Lúi</t>
        </is>
      </c>
      <c r="D35" s="477" t="n">
        <v>30386</v>
      </c>
      <c r="E35" s="478" t="inlineStr">
        <is>
          <t>Nữ</t>
        </is>
      </c>
      <c r="F35" s="479" t="n"/>
      <c r="G35" s="480" t="inlineStr">
        <is>
          <t>Xê Đăng</t>
        </is>
      </c>
      <c r="H35" s="478" t="n"/>
      <c r="I35" s="481">
        <f>IF(AA35="","",IF(AA35&lt;=30,"X",""))</f>
        <v/>
      </c>
      <c r="J35" s="481">
        <f>IF(AND(I35="X",G35&lt;&gt;"Kinh"),"X","")</f>
        <v/>
      </c>
      <c r="K35" s="482" t="n">
        <v>4</v>
      </c>
      <c r="L35" s="483" t="inlineStr">
        <is>
          <t>Người dân tộc thiểu số</t>
        </is>
      </c>
      <c r="M35" s="484">
        <f>VLOOKUP(L35,IDs!$H$3:$I$12,2,0)</f>
        <v/>
      </c>
      <c r="N35" s="485" t="inlineStr">
        <is>
          <t>Thôn ĐăkTrăm, xã Kon Đào, Quảng Ngãi</t>
        </is>
      </c>
      <c r="O35" s="485" t="inlineStr">
        <is>
          <t>Thôn ĐăkTrăm, xã Kon Đào, Quảng Ngãi</t>
        </is>
      </c>
      <c r="P35" s="485" t="inlineStr">
        <is>
          <t>Thôn ĐăkTrăm, xã Kon Đào, Quảng Ngãi</t>
        </is>
      </c>
      <c r="Q35" s="485" t="n"/>
      <c r="R35" s="486" t="n"/>
      <c r="S35" s="486" t="n"/>
      <c r="T35" s="486" t="n"/>
      <c r="U35" s="486" t="n"/>
      <c r="V35" s="486" t="n"/>
      <c r="W35" s="486" t="n"/>
      <c r="X35" s="487">
        <f>IF(D35="","",IF(YEAR(TODAY())-D35&lt;15,"Không đủ tuổi theo học",IF(AND(E35="Nam",YEAR(TODAY())-D35&gt;60),"Quá tuổi theo học",IF(AND(E35="Nữ",YEAR(TODAY())-D35&gt;55),"Quá tuổi theo học","Đảm bảo"))))</f>
        <v/>
      </c>
      <c r="Y35" s="487" t="n"/>
      <c r="Z35" s="488" t="n"/>
      <c r="AA35" s="481">
        <f>IF(OR(D35="",'KHÓA HỌC'!$D$8=""),"",DATEDIF(D35,'KHÓA HỌC'!$D$8,"y"))</f>
        <v/>
      </c>
      <c r="AB35" s="489" t="n"/>
      <c r="AC35" s="489" t="n"/>
      <c r="AD35" s="490" t="n"/>
      <c r="AE35" s="489" t="n"/>
      <c r="AF35" s="489">
        <f>IF(C35&lt;&gt;"",(K35&gt;=9),"")</f>
        <v/>
      </c>
      <c r="AG35" s="489">
        <f>IF(C35&lt;&gt;"",AND(AF35,E35="Nữ"),"")</f>
        <v/>
      </c>
      <c r="AH35" s="489" t="n"/>
      <c r="AI35" s="489" t="n"/>
      <c r="AJ35" s="489" t="n"/>
      <c r="AK35" s="489" t="n"/>
      <c r="AL35" s="489" t="n"/>
      <c r="AM35" s="489" t="n"/>
      <c r="AN35" s="489" t="n"/>
      <c r="AO35" s="489" t="n"/>
      <c r="AP35" s="489" t="n"/>
      <c r="AQ35" s="489" t="n"/>
      <c r="AR35" s="489" t="n"/>
      <c r="AS35" s="489" t="n"/>
      <c r="AT35" s="489" t="n"/>
      <c r="AU35" s="490" t="n"/>
      <c r="AV35" s="489" t="n"/>
      <c r="AW35" s="489" t="n"/>
      <c r="AX35" s="489" t="n"/>
      <c r="AY35" s="489" t="n"/>
      <c r="AZ35" s="489" t="n"/>
      <c r="BA35" s="489" t="n"/>
      <c r="BB35" s="489" t="n"/>
      <c r="BC35" s="489" t="n"/>
      <c r="BD35" s="489" t="n"/>
      <c r="BE35" s="489" t="n"/>
      <c r="BF35" s="489" t="n"/>
      <c r="BG35" s="489" t="n"/>
      <c r="BH35" s="489" t="n"/>
    </row>
    <row r="36" ht="24" customFormat="1" customHeight="1" s="474">
      <c r="A36" s="475" t="inlineStr">
        <is>
          <t>33</t>
        </is>
      </c>
      <c r="B36" s="475" t="n"/>
      <c r="C36" s="476" t="inlineStr">
        <is>
          <t>Y Loan</t>
        </is>
      </c>
      <c r="D36" s="477" t="n">
        <v>30386</v>
      </c>
      <c r="E36" s="478" t="inlineStr">
        <is>
          <t>Nữ</t>
        </is>
      </c>
      <c r="F36" s="479" t="n"/>
      <c r="G36" s="480" t="inlineStr">
        <is>
          <t>Xê Đăng</t>
        </is>
      </c>
      <c r="H36" s="478" t="n"/>
      <c r="I36" s="481">
        <f>IF(AA36="","",IF(AA36&lt;=30,"X",""))</f>
        <v/>
      </c>
      <c r="J36" s="481">
        <f>IF(AND(I36="X",G36&lt;&gt;"Kinh"),"X","")</f>
        <v/>
      </c>
      <c r="K36" s="493" t="n">
        <v>9</v>
      </c>
      <c r="L36" s="483" t="inlineStr">
        <is>
          <t>Người dân tộc thiểu số</t>
        </is>
      </c>
      <c r="M36" s="484">
        <f>VLOOKUP(L36,IDs!$H$3:$I$12,2,0)</f>
        <v/>
      </c>
      <c r="N36" s="485" t="inlineStr">
        <is>
          <t>Thôn ĐăkTrăm, xã Kon Đào, Quảng Ngãi</t>
        </is>
      </c>
      <c r="O36" s="485" t="inlineStr">
        <is>
          <t>Thôn ĐăkTrăm, xã Kon Đào, Quảng Ngãi</t>
        </is>
      </c>
      <c r="P36" s="485" t="inlineStr">
        <is>
          <t>Thôn ĐăkTrăm, xã Kon Đào, Quảng Ngãi</t>
        </is>
      </c>
      <c r="Q36" s="485" t="n"/>
      <c r="R36" s="486" t="n"/>
      <c r="S36" s="486" t="n"/>
      <c r="T36" s="486" t="n"/>
      <c r="U36" s="486" t="n"/>
      <c r="V36" s="486" t="n"/>
      <c r="W36" s="486" t="n"/>
      <c r="X36" s="487">
        <f>IF(D36="","",IF(YEAR(TODAY())-D36&lt;15,"Không đủ tuổi theo học",IF(AND(E36="Nam",YEAR(TODAY())-D36&gt;60),"Quá tuổi theo học",IF(AND(E36="Nữ",YEAR(TODAY())-D36&gt;55),"Quá tuổi theo học","Đảm bảo"))))</f>
        <v/>
      </c>
      <c r="Y36" s="487" t="n"/>
      <c r="Z36" s="488" t="n"/>
      <c r="AA36" s="481">
        <f>IF(OR(D36="",'KHÓA HỌC'!$D$8=""),"",DATEDIF(D36,'KHÓA HỌC'!$D$8,"y"))</f>
        <v/>
      </c>
      <c r="AB36" s="489" t="n"/>
      <c r="AC36" s="489" t="n"/>
      <c r="AD36" s="490" t="n"/>
      <c r="AE36" s="489" t="n"/>
      <c r="AF36" s="489">
        <f>IF(C36&lt;&gt;"",(K36&gt;=9),"")</f>
        <v/>
      </c>
      <c r="AG36" s="489">
        <f>IF(C36&lt;&gt;"",AND(AF36,E36="Nữ"),"")</f>
        <v/>
      </c>
      <c r="AH36" s="489" t="n"/>
      <c r="AI36" s="489" t="n"/>
      <c r="AJ36" s="489" t="n"/>
      <c r="AK36" s="489" t="n"/>
      <c r="AL36" s="489" t="n"/>
      <c r="AM36" s="489" t="n"/>
      <c r="AN36" s="489" t="n"/>
      <c r="AO36" s="489" t="n"/>
      <c r="AP36" s="489" t="n"/>
      <c r="AQ36" s="489" t="n"/>
      <c r="AR36" s="489" t="n"/>
      <c r="AS36" s="489" t="n"/>
      <c r="AT36" s="489" t="n"/>
      <c r="AU36" s="490" t="n"/>
      <c r="AV36" s="489" t="n"/>
      <c r="AW36" s="489" t="n"/>
      <c r="AX36" s="489" t="n"/>
      <c r="AY36" s="489" t="n"/>
      <c r="AZ36" s="489" t="n"/>
      <c r="BA36" s="489" t="n"/>
      <c r="BB36" s="489" t="n"/>
      <c r="BC36" s="489" t="n"/>
      <c r="BD36" s="489" t="n"/>
      <c r="BE36" s="489" t="n"/>
      <c r="BF36" s="489" t="n"/>
      <c r="BG36" s="489" t="n"/>
      <c r="BH36" s="489" t="n"/>
    </row>
    <row r="37" ht="24" customFormat="1" customHeight="1" s="474">
      <c r="A37" s="475" t="n"/>
      <c r="B37" s="475" t="n"/>
      <c r="C37" s="494" t="n"/>
      <c r="D37" s="477" t="n"/>
      <c r="E37" s="493" t="n"/>
      <c r="F37" s="495" t="n"/>
      <c r="G37" s="493" t="n"/>
      <c r="H37" s="493" t="n"/>
      <c r="I37" s="484" t="n"/>
      <c r="J37" s="484" t="n"/>
      <c r="K37" s="493" t="n"/>
      <c r="L37" s="483" t="n"/>
      <c r="M37" s="484" t="n"/>
      <c r="N37" s="496" t="n"/>
      <c r="O37" s="496" t="n"/>
      <c r="P37" s="497" t="n"/>
      <c r="Q37" s="497" t="n"/>
      <c r="R37" s="498" t="n"/>
      <c r="S37" s="498" t="n"/>
      <c r="T37" s="498" t="n"/>
      <c r="U37" s="498" t="n"/>
      <c r="V37" s="498" t="n"/>
      <c r="W37" s="498" t="n"/>
      <c r="X37" s="487" t="n"/>
      <c r="Y37" s="487" t="n"/>
      <c r="Z37" s="488" t="n"/>
      <c r="AA37" s="481">
        <f>IF(OR(D37="",'KHÓA HỌC'!$D$8=""),"",DATEDIF(D37,'KHÓA HỌC'!$D$8,"y"))</f>
        <v/>
      </c>
      <c r="AB37" s="489" t="n"/>
      <c r="AC37" s="489" t="n"/>
      <c r="AD37" s="490" t="n"/>
      <c r="AE37" s="489" t="n"/>
      <c r="AF37" s="489" t="n"/>
      <c r="AG37" s="489" t="n"/>
      <c r="AH37" s="489" t="n"/>
      <c r="AI37" s="489" t="n"/>
      <c r="AJ37" s="489" t="n"/>
      <c r="AK37" s="489" t="n"/>
      <c r="AL37" s="489" t="n"/>
      <c r="AM37" s="489" t="n"/>
      <c r="AN37" s="489" t="n"/>
      <c r="AO37" s="489" t="n"/>
      <c r="AP37" s="489" t="n"/>
      <c r="AQ37" s="489" t="n"/>
      <c r="AR37" s="489" t="n"/>
      <c r="AS37" s="489" t="n"/>
      <c r="AT37" s="489" t="n"/>
      <c r="AU37" s="490" t="n"/>
      <c r="AV37" s="489" t="n"/>
      <c r="AW37" s="489" t="n"/>
      <c r="AX37" s="489" t="n"/>
      <c r="AY37" s="489" t="n"/>
      <c r="AZ37" s="489" t="n"/>
      <c r="BA37" s="489" t="n"/>
      <c r="BB37" s="489" t="n"/>
      <c r="BC37" s="489" t="n"/>
      <c r="BD37" s="489" t="n"/>
      <c r="BE37" s="489" t="n"/>
      <c r="BF37" s="489" t="n"/>
      <c r="BG37" s="489" t="n"/>
      <c r="BH37" s="489" t="n"/>
    </row>
    <row r="38" ht="24" customFormat="1" customHeight="1" s="474">
      <c r="A38" s="475" t="n"/>
      <c r="B38" s="475" t="n"/>
      <c r="C38" s="494" t="n"/>
      <c r="D38" s="477" t="n"/>
      <c r="E38" s="493" t="n"/>
      <c r="F38" s="495" t="n"/>
      <c r="G38" s="493" t="n"/>
      <c r="H38" s="493" t="n"/>
      <c r="I38" s="484" t="n"/>
      <c r="J38" s="484" t="n"/>
      <c r="K38" s="493" t="n"/>
      <c r="L38" s="483" t="n"/>
      <c r="M38" s="484" t="n"/>
      <c r="N38" s="496" t="n"/>
      <c r="O38" s="496" t="n"/>
      <c r="P38" s="497" t="n"/>
      <c r="Q38" s="497" t="n"/>
      <c r="R38" s="498" t="n"/>
      <c r="S38" s="498" t="n"/>
      <c r="T38" s="498" t="n"/>
      <c r="U38" s="498" t="n"/>
      <c r="V38" s="498" t="n"/>
      <c r="W38" s="498" t="n"/>
      <c r="X38" s="487" t="n"/>
      <c r="Y38" s="487" t="n"/>
      <c r="Z38" s="488" t="n"/>
      <c r="AA38" s="481">
        <f>IF(OR(D38="",'KHÓA HỌC'!$D$8=""),"",DATEDIF(D38,'KHÓA HỌC'!$D$8,"y"))</f>
        <v/>
      </c>
      <c r="AB38" s="489" t="n"/>
      <c r="AC38" s="489" t="n"/>
      <c r="AD38" s="490" t="n"/>
      <c r="AE38" s="489" t="n"/>
      <c r="AF38" s="489" t="n"/>
      <c r="AG38" s="489" t="n"/>
      <c r="AH38" s="489" t="n"/>
      <c r="AI38" s="489" t="n"/>
      <c r="AJ38" s="489" t="n"/>
      <c r="AK38" s="489" t="n"/>
      <c r="AL38" s="489" t="n"/>
      <c r="AM38" s="489" t="n"/>
      <c r="AN38" s="489" t="n"/>
      <c r="AO38" s="489" t="n"/>
      <c r="AP38" s="489" t="n"/>
      <c r="AQ38" s="489" t="n"/>
      <c r="AR38" s="489" t="n"/>
      <c r="AS38" s="489" t="n"/>
      <c r="AT38" s="489" t="n"/>
      <c r="AU38" s="490" t="n"/>
      <c r="AV38" s="489" t="n"/>
      <c r="AW38" s="489" t="n"/>
      <c r="AX38" s="489" t="n"/>
      <c r="AY38" s="489" t="n"/>
      <c r="AZ38" s="489" t="n"/>
      <c r="BA38" s="489" t="n"/>
      <c r="BB38" s="489" t="n"/>
      <c r="BC38" s="489" t="n"/>
      <c r="BD38" s="489" t="n"/>
      <c r="BE38" s="489" t="n"/>
      <c r="BF38" s="489" t="n"/>
      <c r="BG38" s="489" t="n"/>
      <c r="BH38" s="489" t="n"/>
    </row>
    <row r="39" ht="24" customFormat="1" customHeight="1" s="499">
      <c r="A39" s="475" t="n"/>
      <c r="B39" s="475" t="n"/>
      <c r="C39" s="475" t="n"/>
      <c r="D39" s="477" t="n"/>
      <c r="E39" s="493" t="n"/>
      <c r="F39" s="495" t="n"/>
      <c r="G39" s="493" t="n"/>
      <c r="H39" s="493" t="n"/>
      <c r="I39" s="500" t="n"/>
      <c r="J39" s="500" t="n"/>
      <c r="K39" s="501" t="n"/>
      <c r="L39" s="493" t="n"/>
      <c r="M39" s="500" t="n"/>
      <c r="N39" s="502" t="n"/>
      <c r="O39" s="502" t="n"/>
      <c r="P39" s="503" t="n"/>
      <c r="Q39" s="503" t="n"/>
      <c r="R39" s="504" t="n"/>
      <c r="S39" s="504" t="n"/>
      <c r="T39" s="504" t="n"/>
      <c r="U39" s="504" t="n"/>
      <c r="V39" s="504" t="n"/>
      <c r="W39" s="504" t="n"/>
      <c r="X39" s="505" t="n"/>
      <c r="Y39" s="505" t="n"/>
      <c r="Z39" s="506" t="n"/>
      <c r="AA39" s="481">
        <f>IF(OR(D39="",'KHÓA HỌC'!$D$8=""),"",DATEDIF(D39,'KHÓA HỌC'!$D$8,"y"))</f>
        <v/>
      </c>
      <c r="AB39" s="507">
        <f>COUNTIF(AB4:AB38,"TRUE")</f>
        <v/>
      </c>
      <c r="AC39" s="507">
        <f>COUNTIF(AC4:AC38,"TRUE")</f>
        <v/>
      </c>
      <c r="AD39" s="507">
        <f>COUNTIF(AD4:AD38,"TRUE")</f>
        <v/>
      </c>
      <c r="AE39" s="507">
        <f>COUNTIF(AE4:AE38,"TRUE")</f>
        <v/>
      </c>
      <c r="AF39" s="507">
        <f>COUNTIF(AF4:AF38,"TRUE")</f>
        <v/>
      </c>
      <c r="AG39" s="507">
        <f>COUNTIF(AG4:AG38,"TRUE")</f>
        <v/>
      </c>
      <c r="AH39" s="507">
        <f>COUNTIF(AH4:AH38,"TRUE")</f>
        <v/>
      </c>
      <c r="AI39" s="507">
        <f>COUNTIF(AI4:AI38,"TRUE")</f>
        <v/>
      </c>
      <c r="AJ39" s="507">
        <f>COUNTIF(AJ4:AJ38,"TRUE")</f>
        <v/>
      </c>
      <c r="AK39" s="507">
        <f>COUNTIF(AK4:AK38,"TRUE")</f>
        <v/>
      </c>
      <c r="AL39" s="507">
        <f>COUNTIF(AL4:AL38,"TRUE")</f>
        <v/>
      </c>
      <c r="AM39" s="507">
        <f>COUNTIF(AM4:AM38,"TRUE")</f>
        <v/>
      </c>
      <c r="AN39" s="507">
        <f>COUNTIF(AN4:AN38,"TRUE")</f>
        <v/>
      </c>
      <c r="AO39" s="507">
        <f>COUNTIF(AO4:AO38,"TRUE")</f>
        <v/>
      </c>
      <c r="AP39" s="507">
        <f>COUNTIF(AP4:AP38,"TRUE")</f>
        <v/>
      </c>
      <c r="AQ39" s="507">
        <f>COUNTIF(AQ4:AQ38,"TRUE")</f>
        <v/>
      </c>
      <c r="AR39" s="507">
        <f>COUNTIF(AR4:AR38,"TRUE")</f>
        <v/>
      </c>
      <c r="AS39" s="507">
        <f>COUNTIF(AS4:AS38,"TRUE")</f>
        <v/>
      </c>
      <c r="AT39" s="507">
        <f>COUNTIF(AT4:AT38,"TRUE")</f>
        <v/>
      </c>
      <c r="AU39" s="507">
        <f>COUNTIF(AU4:AU38,"TRUE")</f>
        <v/>
      </c>
      <c r="AV39" s="507">
        <f>COUNTIF(AV4:AV38,"TRUE")</f>
        <v/>
      </c>
      <c r="AW39" s="507">
        <f>COUNTIF(AW4:AW38,"TRUE")</f>
        <v/>
      </c>
      <c r="AX39" s="507">
        <f>COUNTIF(AX4:AX38,"TRUE")</f>
        <v/>
      </c>
      <c r="AY39" s="507">
        <f>COUNTIF(AY4:AY38,"TRUE")</f>
        <v/>
      </c>
      <c r="AZ39" s="507">
        <f>COUNTIF(AZ4:AZ38,"TRUE")</f>
        <v/>
      </c>
      <c r="BA39" s="507">
        <f>COUNTIF(BA4:BA38,"TRUE")</f>
        <v/>
      </c>
      <c r="BB39" s="507">
        <f>COUNTIF(BB4:BB38,"TRUE")</f>
        <v/>
      </c>
      <c r="BC39" s="507">
        <f>COUNTIF(BC4:BC38,"TRUE")</f>
        <v/>
      </c>
      <c r="BD39" s="507">
        <f>COUNTIF(BD4:BD38,"TRUE")</f>
        <v/>
      </c>
      <c r="BE39" s="507">
        <f>COUNTIF(BE4:BE38,"TRUE")</f>
        <v/>
      </c>
      <c r="BF39" s="507">
        <f>COUNTIF(BF4:BF38,"TRUE")</f>
        <v/>
      </c>
      <c r="BG39" s="507">
        <f>COUNTIF(BG4:BG38,"TRUE")</f>
        <v/>
      </c>
      <c r="BH39" s="507">
        <f>COUNTIF(BH4:BH38,"TRUE")</f>
        <v/>
      </c>
    </row>
    <row r="40" ht="24" customHeight="1" s="393">
      <c r="F40" s="508" t="n"/>
      <c r="R40" s="509" t="n"/>
      <c r="S40" s="509" t="n"/>
      <c r="T40" s="509" t="n"/>
      <c r="U40" s="509" t="n"/>
      <c r="V40" s="509" t="n"/>
      <c r="W40" s="509" t="n"/>
    </row>
    <row r="41" ht="15.4" customHeight="1" s="393">
      <c r="F41" s="508" t="n"/>
      <c r="R41" s="509" t="n"/>
      <c r="S41" s="509" t="n"/>
      <c r="T41" s="509" t="n"/>
      <c r="U41" s="509" t="n"/>
      <c r="V41" s="509" t="n"/>
      <c r="W41" s="509" t="n"/>
    </row>
    <row r="42" ht="15.4" customHeight="1" s="393">
      <c r="F42" s="508" t="n"/>
      <c r="R42" s="509" t="n"/>
      <c r="S42" s="509" t="n"/>
      <c r="T42" s="509" t="n"/>
      <c r="U42" s="509" t="n"/>
      <c r="V42" s="509" t="n"/>
      <c r="W42" s="509" t="n"/>
    </row>
    <row r="43" ht="15.4" customHeight="1" s="393">
      <c r="F43" s="508" t="n"/>
      <c r="R43" s="509" t="n"/>
      <c r="S43" s="509" t="n"/>
      <c r="T43" s="509" t="n"/>
      <c r="U43" s="509" t="n"/>
      <c r="V43" s="509" t="n"/>
      <c r="W43" s="509" t="n"/>
    </row>
    <row r="44" ht="15.4" customHeight="1" s="393">
      <c r="F44" s="508" t="n"/>
    </row>
  </sheetData>
  <mergeCells count="40">
    <mergeCell ref="L2:M2"/>
    <mergeCell ref="V2:W2"/>
    <mergeCell ref="B2:B3"/>
    <mergeCell ref="AE2:AE3"/>
    <mergeCell ref="N2:N3"/>
    <mergeCell ref="AV2:AV3"/>
    <mergeCell ref="D2:D3"/>
    <mergeCell ref="F2:F3"/>
    <mergeCell ref="P2:P3"/>
    <mergeCell ref="H2:H3"/>
    <mergeCell ref="Y2:Y3"/>
    <mergeCell ref="AS2:AS3"/>
    <mergeCell ref="AF2:AH2"/>
    <mergeCell ref="Z2:Z3"/>
    <mergeCell ref="A2:A3"/>
    <mergeCell ref="AB2:AB3"/>
    <mergeCell ref="AD2:AD3"/>
    <mergeCell ref="C2:C3"/>
    <mergeCell ref="E2:E3"/>
    <mergeCell ref="K2:K3"/>
    <mergeCell ref="AI2:AK2"/>
    <mergeCell ref="AZ2:BB2"/>
    <mergeCell ref="T2:U2"/>
    <mergeCell ref="BF2:BH2"/>
    <mergeCell ref="O2:O3"/>
    <mergeCell ref="AA2:AA3"/>
    <mergeCell ref="Q2:Q3"/>
    <mergeCell ref="AR2:AR3"/>
    <mergeCell ref="AC2:AC3"/>
    <mergeCell ref="AT2:AT3"/>
    <mergeCell ref="J2:J3"/>
    <mergeCell ref="AW2:AY2"/>
    <mergeCell ref="AO2:AQ2"/>
    <mergeCell ref="AU2:AU3"/>
    <mergeCell ref="AL2:AN2"/>
    <mergeCell ref="BC2:BE2"/>
    <mergeCell ref="R2:S2"/>
    <mergeCell ref="X2:X3"/>
    <mergeCell ref="I2:I3"/>
    <mergeCell ref="G2:G3"/>
  </mergeCells>
  <dataValidations count="6">
    <dataValidation sqref="E4:E38 G4:G38" showDropDown="0" showInputMessage="0" showErrorMessage="1" allowBlank="1" type="list" errorStyle="stop" operator="between">
      <formula1>"Nam,Nữ"</formula1>
      <formula2>0</formula2>
    </dataValidation>
    <dataValidation sqref="K36:K38" showDropDown="0" showInputMessage="1" showErrorMessage="1" allowBlank="1" errorTitle="Thông báo" error="Bạn chỉ được nhập từ 0 đến 12" promptTitle="Hướng dẫn" prompt="Chỉ nhập số nguyên từ 0 đến 12" type="whole" errorStyle="stop" operator="between">
      <formula1>0</formula1>
      <formula2>12</formula2>
    </dataValidation>
    <dataValidation sqref="AA4:AA39" showDropDown="0" showInputMessage="1" showErrorMessage="1" allowBlank="1" promptTitle="Lưu ý" prompt="Ô này được tính từ ngày sinh của người học đến ngày mở lớp. Không điều chỉnh ô này. Ô này do công thức sinh ra!&#10;" errorStyle="stop" operator="between">
      <formula1>0</formula1>
      <formula2>0</formula2>
    </dataValidation>
    <dataValidation sqref="I4:J38" showDropDown="0" showInputMessage="1" showErrorMessage="1" allowBlank="1" promptTitle="Hướng dẫn" prompt="Ô này sẽ tự động chạy, bạn không cần nhập hay chỉnh sửa!" errorStyle="stop" operator="between">
      <formula1>0</formula1>
      <formula2>0</formula2>
    </dataValidation>
    <dataValidation sqref="D4:D39" showDropDown="0" showInputMessage="1" showErrorMessage="1" allowBlank="1" promptTitle="Hướng dẫn" prompt="Bạn cần nhập đúng, đủ định dạng dd/mm/yyyy theo thẻ Căn cước." errorStyle="stop" operator="between">
      <formula1>0</formula1>
      <formula2>0</formula2>
    </dataValidation>
    <dataValidation sqref="P37:W38" showDropDown="0" showInputMessage="1" showErrorMessage="1" allowBlank="1" promptTitle="Hướng dẫn" prompt="Ghi đủ địa giới hành chính 4 cấp cách nhau bởi dấu &quot;,&quot;&#10;VD: Thôn 7, Kon Đào, ĐăkTô, Kon Tum" errorStyle="stop" operator="between">
      <formula1>0</formula1>
      <formula2>0</formula2>
    </dataValidation>
  </dataValidations>
  <printOptions horizontalCentered="0" verticalCentered="0" headings="0" gridLines="0" gridLinesSet="1"/>
  <pageMargins left="0.370138888888889" right="0.229861111111111" top="0.490277777777778" bottom="0.559722222222222" header="0.511811023622047" footer="0.511811023622047"/>
  <pageSetup orientation="landscape"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N64"/>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B10" activeCellId="0" sqref="B10:D10"/>
    </sheetView>
  </sheetViews>
  <sheetFormatPr baseColWidth="8" defaultColWidth="8.99609375" defaultRowHeight="15.4" zeroHeight="0" outlineLevelRow="0"/>
  <cols>
    <col width="4.87" customWidth="1" style="456" min="1" max="1"/>
    <col width="13.5" customWidth="1" style="392" min="2" max="3"/>
    <col width="10.93" customWidth="1" style="457" min="4" max="4"/>
    <col width="6.99" customWidth="1" style="392" min="5" max="5"/>
    <col width="9.119999999999999" customWidth="1" style="392" min="6" max="6"/>
    <col width="6.87" customWidth="1" style="392" min="7" max="7"/>
    <col width="8.369999999999999" customWidth="1" style="392" min="8" max="8"/>
    <col width="8.24" customWidth="1" style="392" min="9" max="9"/>
    <col width="8.5" customWidth="1" style="392" min="10" max="10"/>
    <col width="34.68" customWidth="1" style="392" min="11" max="12"/>
    <col width="7.5" customWidth="1" style="392" min="13" max="13"/>
    <col width="8.99" customWidth="1" style="392" min="14" max="257"/>
  </cols>
  <sheetData>
    <row r="1" ht="16.5" customHeight="1" s="393">
      <c r="A1" s="510" t="n"/>
      <c r="B1" s="511" t="inlineStr">
        <is>
          <t>UBND XÃ……………….</t>
        </is>
      </c>
      <c r="H1" s="510" t="n"/>
      <c r="I1" s="512" t="n"/>
      <c r="J1" s="512" t="n"/>
      <c r="K1" s="513" t="inlineStr">
        <is>
          <t>CỘNG HÒA XÃ HỘI CHỦ NGHĨA VIỆT NAM</t>
        </is>
      </c>
      <c r="M1" s="512" t="n"/>
    </row>
    <row r="2" ht="17.25" customHeight="1" s="393">
      <c r="A2" s="510" t="n"/>
      <c r="B2" s="513" t="inlineStr">
        <is>
          <t>PHÒNG………………………..</t>
        </is>
      </c>
      <c r="H2" s="510" t="n"/>
      <c r="I2" s="512" t="n"/>
      <c r="J2" s="512" t="n"/>
      <c r="K2" s="514" t="inlineStr">
        <is>
          <t>Độc lập - Tự do - Hạnh phúc</t>
        </is>
      </c>
      <c r="M2" s="512" t="n"/>
    </row>
    <row r="3" hidden="1" ht="14.25" customHeight="1" s="393">
      <c r="A3" s="515" t="n"/>
      <c r="B3" s="515" t="n"/>
      <c r="C3" s="515" t="n"/>
      <c r="D3" s="516" t="n"/>
      <c r="E3" s="515" t="n"/>
      <c r="F3" s="515" t="n"/>
      <c r="G3" s="515" t="n"/>
      <c r="H3" s="515" t="n"/>
      <c r="I3" s="515" t="n"/>
      <c r="J3" s="515" t="n"/>
      <c r="K3" s="515" t="n"/>
      <c r="L3" s="515" t="n"/>
      <c r="M3" s="517" t="n"/>
    </row>
    <row r="4" ht="11.25" customHeight="1" s="393">
      <c r="A4" s="517" t="n"/>
      <c r="B4" s="517" t="n"/>
      <c r="C4" s="517" t="n"/>
      <c r="D4" s="518" t="n"/>
      <c r="E4" s="517" t="n"/>
      <c r="F4" s="517" t="n"/>
      <c r="G4" s="517" t="n"/>
      <c r="H4" s="517" t="n"/>
      <c r="I4" s="517" t="n"/>
      <c r="J4" s="517" t="n"/>
      <c r="K4" s="517" t="n"/>
      <c r="L4" s="517" t="n"/>
      <c r="M4" s="517" t="n"/>
    </row>
    <row r="5" ht="24" customHeight="1" s="393">
      <c r="A5" s="519" t="inlineStr">
        <is>
          <t>DANH SÁCH TRÍCH NGANG HỌC VIÊN</t>
        </is>
      </c>
    </row>
    <row r="6" ht="17.25" customHeight="1" s="393">
      <c r="A6" s="514">
        <f>"Tham gia lớp Đào tạo Nghề: "&amp;UPPER('KHÓA HỌC'!D5)&amp;"; Khóa: "&amp;'KHÓA HỌC'!D3&amp;"; Năm "&amp;'KHÓA HỌC'!D4</f>
        <v/>
      </c>
    </row>
    <row r="7" ht="17.25" customHeight="1" s="393">
      <c r="A7" s="514">
        <f>"Địa điểm mở lớp: "&amp;'KHÓA HỌC'!D16&amp;", "&amp;'KHÓA HỌC'!D17&amp;", "&amp;'KHÓA HỌC'!D18</f>
        <v/>
      </c>
    </row>
    <row r="8" ht="21" customHeight="1" s="393">
      <c r="A8" s="520" t="n"/>
    </row>
    <row r="9" ht="45" customFormat="1" customHeight="1" s="521">
      <c r="A9" s="522" t="inlineStr">
        <is>
          <t>Số
TT</t>
        </is>
      </c>
      <c r="B9" s="523" t="inlineStr">
        <is>
          <t>Họ và tên</t>
        </is>
      </c>
      <c r="C9" s="407" t="n"/>
      <c r="D9" s="524" t="inlineStr">
        <is>
          <t>Ngày, tháng, năm sinh</t>
        </is>
      </c>
      <c r="E9" s="522" t="inlineStr">
        <is>
          <t>Giới tính</t>
        </is>
      </c>
      <c r="F9" s="522" t="inlineStr">
        <is>
          <t>Dân tộc</t>
        </is>
      </c>
      <c r="G9" s="522" t="inlineStr">
        <is>
          <t xml:space="preserve">Thanh niên </t>
        </is>
      </c>
      <c r="H9" s="522" t="inlineStr">
        <is>
          <t>Thanh niên DTTS</t>
        </is>
      </c>
      <c r="I9" s="522" t="inlineStr">
        <is>
          <t>Trình độ văn hóa</t>
        </is>
      </c>
      <c r="J9" s="522" t="inlineStr">
        <is>
          <t>Nhóm đối tượng</t>
        </is>
      </c>
      <c r="K9" s="523" t="inlineStr">
        <is>
          <t>Nguyên quán</t>
        </is>
      </c>
      <c r="L9" s="523" t="inlineStr">
        <is>
          <t>Nơi cư trú</t>
        </is>
      </c>
      <c r="M9" s="522" t="inlineStr">
        <is>
          <t>Ghi chú</t>
        </is>
      </c>
    </row>
    <row r="10" ht="30.75" customFormat="1" customHeight="1" s="474">
      <c r="A10" s="525" t="n">
        <v>1</v>
      </c>
      <c r="B10" s="476">
        <f>PROPER(TRIM(LEFT(TRIM('Thông tin HV'!C4),LEN(TRIM('Thông tin HV'!C4))-LEN(C10))))</f>
        <v/>
      </c>
      <c r="C10" s="476">
        <f>PROPER(TRIM(RIGHT(SUBSTITUTE(TRIM('Thông tin HV'!C4)," ",REPT(" ",100)),100)))</f>
        <v/>
      </c>
      <c r="D10" s="526">
        <f>'Thông tin HV'!D4</f>
        <v/>
      </c>
      <c r="E10" s="478">
        <f>'Thông tin HV'!E4</f>
        <v/>
      </c>
      <c r="F10" s="480">
        <f>'Thông tin HV'!G4</f>
        <v/>
      </c>
      <c r="G10" s="480">
        <f>'Thông tin HV'!I4</f>
        <v/>
      </c>
      <c r="H10" s="480">
        <f>'Thông tin HV'!J4</f>
        <v/>
      </c>
      <c r="I10" s="480">
        <f>'Thông tin HV'!K4&amp;"/12"</f>
        <v/>
      </c>
      <c r="J10" s="480" t="n">
        <v>3</v>
      </c>
      <c r="K10" s="485">
        <f>'Thông tin HV'!O4</f>
        <v/>
      </c>
      <c r="L10" s="485">
        <f>'Thông tin HV'!P4</f>
        <v/>
      </c>
      <c r="M10" s="527" t="n"/>
    </row>
    <row r="11" ht="30.75" customFormat="1" customHeight="1" s="474">
      <c r="A11" s="525" t="n">
        <v>2</v>
      </c>
      <c r="B11" s="476">
        <f>PROPER(TRIM(LEFT(TRIM('Thông tin HV'!C5),LEN(TRIM('Thông tin HV'!C5))-LEN(C11))))</f>
        <v/>
      </c>
      <c r="C11" s="476">
        <f>PROPER(TRIM(RIGHT(SUBSTITUTE(TRIM('Thông tin HV'!C5)," ",REPT(" ",100)),100)))</f>
        <v/>
      </c>
      <c r="D11" s="526">
        <f>'Thông tin HV'!D5</f>
        <v/>
      </c>
      <c r="E11" s="478" t="inlineStr">
        <is>
          <t>Nam</t>
        </is>
      </c>
      <c r="F11" s="480" t="inlineStr">
        <is>
          <t>Xê Đăng</t>
        </is>
      </c>
      <c r="G11" s="480" t="n"/>
      <c r="H11" s="480" t="n"/>
      <c r="I11" s="480">
        <f>'Thông tin HV'!K5&amp;"/12"</f>
        <v/>
      </c>
      <c r="J11" s="480" t="n">
        <v>3</v>
      </c>
      <c r="K11" s="485">
        <f>'Thông tin HV'!O5</f>
        <v/>
      </c>
      <c r="L11" s="485">
        <f>'Thông tin HV'!P5</f>
        <v/>
      </c>
      <c r="M11" s="527" t="n"/>
    </row>
    <row r="12" ht="30.75" customFormat="1" customHeight="1" s="474">
      <c r="A12" s="525" t="n">
        <v>3</v>
      </c>
      <c r="B12" s="476">
        <f>PROPER(TRIM(LEFT(TRIM('Thông tin HV'!C6),LEN(TRIM('Thông tin HV'!C6))-LEN(C12))))</f>
        <v/>
      </c>
      <c r="C12" s="476">
        <f>PROPER(TRIM(RIGHT(SUBSTITUTE(TRIM('Thông tin HV'!C6)," ",REPT(" ",100)),100)))</f>
        <v/>
      </c>
      <c r="D12" s="526">
        <f>'Thông tin HV'!D6</f>
        <v/>
      </c>
      <c r="E12" s="478" t="inlineStr">
        <is>
          <t>Nam</t>
        </is>
      </c>
      <c r="F12" s="480" t="inlineStr">
        <is>
          <t>Xê Đăng</t>
        </is>
      </c>
      <c r="G12" s="480" t="inlineStr">
        <is>
          <t>x</t>
        </is>
      </c>
      <c r="H12" s="480" t="inlineStr">
        <is>
          <t>x</t>
        </is>
      </c>
      <c r="I12" s="480">
        <f>'Thông tin HV'!K6&amp;"/12"</f>
        <v/>
      </c>
      <c r="J12" s="480" t="n">
        <v>3</v>
      </c>
      <c r="K12" s="485">
        <f>'Thông tin HV'!O6</f>
        <v/>
      </c>
      <c r="L12" s="485">
        <f>'Thông tin HV'!P6</f>
        <v/>
      </c>
      <c r="M12" s="527" t="n"/>
    </row>
    <row r="13" ht="30.75" customFormat="1" customHeight="1" s="474">
      <c r="A13" s="525" t="n">
        <v>4</v>
      </c>
      <c r="B13" s="476">
        <f>PROPER(TRIM(LEFT(TRIM('Thông tin HV'!C7),LEN(TRIM('Thông tin HV'!C7))-LEN(C13))))</f>
        <v/>
      </c>
      <c r="C13" s="476">
        <f>PROPER(TRIM(RIGHT(SUBSTITUTE(TRIM('Thông tin HV'!C7)," ",REPT(" ",100)),100)))</f>
        <v/>
      </c>
      <c r="D13" s="526">
        <f>'Thông tin HV'!D7</f>
        <v/>
      </c>
      <c r="E13" s="478" t="inlineStr">
        <is>
          <t>Nam</t>
        </is>
      </c>
      <c r="F13" s="480" t="inlineStr">
        <is>
          <t>Xê Đăng</t>
        </is>
      </c>
      <c r="G13" s="480" t="n"/>
      <c r="H13" s="480" t="n"/>
      <c r="I13" s="480">
        <f>'Thông tin HV'!K7&amp;"/12"</f>
        <v/>
      </c>
      <c r="J13" s="480" t="n">
        <v>3</v>
      </c>
      <c r="K13" s="485">
        <f>'Thông tin HV'!O7</f>
        <v/>
      </c>
      <c r="L13" s="485">
        <f>'Thông tin HV'!P7</f>
        <v/>
      </c>
      <c r="M13" s="527" t="n"/>
    </row>
    <row r="14" ht="30.75" customFormat="1" customHeight="1" s="474">
      <c r="A14" s="525" t="n">
        <v>5</v>
      </c>
      <c r="B14" s="476">
        <f>PROPER(TRIM(LEFT(TRIM('Thông tin HV'!C8),LEN(TRIM('Thông tin HV'!C8))-LEN(C14))))</f>
        <v/>
      </c>
      <c r="C14" s="476">
        <f>PROPER(TRIM(RIGHT(SUBSTITUTE(TRIM('Thông tin HV'!C8)," ",REPT(" ",100)),100)))</f>
        <v/>
      </c>
      <c r="D14" s="526">
        <f>'Thông tin HV'!D8</f>
        <v/>
      </c>
      <c r="E14" s="478" t="inlineStr">
        <is>
          <t>Nam</t>
        </is>
      </c>
      <c r="F14" s="480" t="inlineStr">
        <is>
          <t>Xê Đăng</t>
        </is>
      </c>
      <c r="G14" s="480" t="inlineStr">
        <is>
          <t>x</t>
        </is>
      </c>
      <c r="H14" s="480" t="inlineStr">
        <is>
          <t>x</t>
        </is>
      </c>
      <c r="I14" s="480">
        <f>'Thông tin HV'!K8&amp;"/12"</f>
        <v/>
      </c>
      <c r="J14" s="480" t="n">
        <v>3</v>
      </c>
      <c r="K14" s="485">
        <f>'Thông tin HV'!O8</f>
        <v/>
      </c>
      <c r="L14" s="485">
        <f>'Thông tin HV'!P8</f>
        <v/>
      </c>
      <c r="M14" s="527" t="n"/>
    </row>
    <row r="15" ht="30.75" customFormat="1" customHeight="1" s="474">
      <c r="A15" s="525" t="n">
        <v>6</v>
      </c>
      <c r="B15" s="476">
        <f>PROPER(TRIM(LEFT(TRIM('Thông tin HV'!C9),LEN(TRIM('Thông tin HV'!C9))-LEN(C15))))</f>
        <v/>
      </c>
      <c r="C15" s="476">
        <f>PROPER(TRIM(RIGHT(SUBSTITUTE(TRIM('Thông tin HV'!C9)," ",REPT(" ",100)),100)))</f>
        <v/>
      </c>
      <c r="D15" s="526">
        <f>'Thông tin HV'!D9</f>
        <v/>
      </c>
      <c r="E15" s="478" t="inlineStr">
        <is>
          <t>Nam</t>
        </is>
      </c>
      <c r="F15" s="480" t="inlineStr">
        <is>
          <t>Xê Đăng</t>
        </is>
      </c>
      <c r="G15" s="480" t="n"/>
      <c r="H15" s="480" t="n"/>
      <c r="I15" s="480">
        <f>'Thông tin HV'!K9&amp;"/12"</f>
        <v/>
      </c>
      <c r="J15" s="480" t="n">
        <v>3</v>
      </c>
      <c r="K15" s="485">
        <f>'Thông tin HV'!O9</f>
        <v/>
      </c>
      <c r="L15" s="485">
        <f>'Thông tin HV'!P9</f>
        <v/>
      </c>
      <c r="M15" s="527" t="n"/>
    </row>
    <row r="16" ht="30.75" customFormat="1" customHeight="1" s="474">
      <c r="A16" s="525" t="n">
        <v>7</v>
      </c>
      <c r="B16" s="476">
        <f>PROPER(TRIM(LEFT(TRIM('Thông tin HV'!C10),LEN(TRIM('Thông tin HV'!C10))-LEN(C16))))</f>
        <v/>
      </c>
      <c r="C16" s="476">
        <f>PROPER(TRIM(RIGHT(SUBSTITUTE(TRIM('Thông tin HV'!C10)," ",REPT(" ",100)),100)))</f>
        <v/>
      </c>
      <c r="D16" s="526">
        <f>'Thông tin HV'!D10</f>
        <v/>
      </c>
      <c r="E16" s="478" t="inlineStr">
        <is>
          <t>Nam</t>
        </is>
      </c>
      <c r="F16" s="480" t="inlineStr">
        <is>
          <t>Xê Đăng</t>
        </is>
      </c>
      <c r="G16" s="480" t="inlineStr">
        <is>
          <t>x</t>
        </is>
      </c>
      <c r="H16" s="480" t="inlineStr">
        <is>
          <t>x</t>
        </is>
      </c>
      <c r="I16" s="480">
        <f>'Thông tin HV'!K10&amp;"/12"</f>
        <v/>
      </c>
      <c r="J16" s="480" t="n">
        <v>3</v>
      </c>
      <c r="K16" s="485">
        <f>'Thông tin HV'!O10</f>
        <v/>
      </c>
      <c r="L16" s="485">
        <f>'Thông tin HV'!P10</f>
        <v/>
      </c>
      <c r="M16" s="527" t="n"/>
    </row>
    <row r="17" ht="23.25" customFormat="1" customHeight="1" s="474">
      <c r="A17" s="525" t="n">
        <v>8</v>
      </c>
      <c r="B17" s="476">
        <f>PROPER(TRIM(LEFT(TRIM('Thông tin HV'!C11),LEN(TRIM('Thông tin HV'!C11))-LEN(C17))))</f>
        <v/>
      </c>
      <c r="C17" s="476">
        <f>PROPER(TRIM(RIGHT(SUBSTITUTE(TRIM('Thông tin HV'!C11)," ",REPT(" ",100)),100)))</f>
        <v/>
      </c>
      <c r="D17" s="526">
        <f>'Thông tin HV'!D11</f>
        <v/>
      </c>
      <c r="E17" s="478" t="inlineStr">
        <is>
          <t>Nam</t>
        </is>
      </c>
      <c r="F17" s="480" t="inlineStr">
        <is>
          <t>Xê Đăng</t>
        </is>
      </c>
      <c r="G17" s="480" t="inlineStr">
        <is>
          <t> </t>
        </is>
      </c>
      <c r="H17" s="480" t="inlineStr">
        <is>
          <t> </t>
        </is>
      </c>
      <c r="I17" s="480">
        <f>'Thông tin HV'!K11&amp;"/12"</f>
        <v/>
      </c>
      <c r="J17" s="480" t="n">
        <v>3</v>
      </c>
      <c r="K17" s="485">
        <f>'Thông tin HV'!O11</f>
        <v/>
      </c>
      <c r="L17" s="485">
        <f>'Thông tin HV'!P11</f>
        <v/>
      </c>
      <c r="M17" s="527" t="n"/>
    </row>
    <row r="18" ht="30.75" customFormat="1" customHeight="1" s="474">
      <c r="A18" s="525" t="n">
        <v>9</v>
      </c>
      <c r="B18" s="476">
        <f>PROPER(TRIM(LEFT(TRIM('Thông tin HV'!C12),LEN(TRIM('Thông tin HV'!C12))-LEN(C18))))</f>
        <v/>
      </c>
      <c r="C18" s="476">
        <f>PROPER(TRIM(RIGHT(SUBSTITUTE(TRIM('Thông tin HV'!C12)," ",REPT(" ",100)),100)))</f>
        <v/>
      </c>
      <c r="D18" s="526">
        <f>'Thông tin HV'!D12</f>
        <v/>
      </c>
      <c r="E18" s="478" t="inlineStr">
        <is>
          <t>Nam</t>
        </is>
      </c>
      <c r="F18" s="480" t="inlineStr">
        <is>
          <t>Xê Đăng</t>
        </is>
      </c>
      <c r="G18" s="480" t="inlineStr">
        <is>
          <t>x</t>
        </is>
      </c>
      <c r="H18" s="480" t="inlineStr">
        <is>
          <t>x</t>
        </is>
      </c>
      <c r="I18" s="480">
        <f>'Thông tin HV'!K12&amp;"/12"</f>
        <v/>
      </c>
      <c r="J18" s="480" t="n">
        <v>3</v>
      </c>
      <c r="K18" s="485">
        <f>'Thông tin HV'!O12</f>
        <v/>
      </c>
      <c r="L18" s="485">
        <f>'Thông tin HV'!P12</f>
        <v/>
      </c>
      <c r="M18" s="527" t="n"/>
    </row>
    <row r="19" ht="30.75" customFormat="1" customHeight="1" s="474">
      <c r="A19" s="525" t="n">
        <v>10</v>
      </c>
      <c r="B19" s="476">
        <f>PROPER(TRIM(LEFT(TRIM('Thông tin HV'!C13),LEN(TRIM('Thông tin HV'!C13))-LEN(C19))))</f>
        <v/>
      </c>
      <c r="C19" s="476">
        <f>PROPER(TRIM(RIGHT(SUBSTITUTE(TRIM('Thông tin HV'!C13)," ",REPT(" ",100)),100)))</f>
        <v/>
      </c>
      <c r="D19" s="526">
        <f>'Thông tin HV'!D13</f>
        <v/>
      </c>
      <c r="E19" s="478" t="inlineStr">
        <is>
          <t>Nam</t>
        </is>
      </c>
      <c r="F19" s="480" t="inlineStr">
        <is>
          <t>Xê Đăng</t>
        </is>
      </c>
      <c r="G19" s="480" t="inlineStr">
        <is>
          <t>x</t>
        </is>
      </c>
      <c r="H19" s="480" t="inlineStr">
        <is>
          <t>x</t>
        </is>
      </c>
      <c r="I19" s="480">
        <f>'Thông tin HV'!K13&amp;"/12"</f>
        <v/>
      </c>
      <c r="J19" s="480" t="n">
        <v>3</v>
      </c>
      <c r="K19" s="485">
        <f>'Thông tin HV'!O13</f>
        <v/>
      </c>
      <c r="L19" s="485">
        <f>'Thông tin HV'!P13</f>
        <v/>
      </c>
      <c r="M19" s="527" t="n"/>
    </row>
    <row r="20" ht="30.75" customFormat="1" customHeight="1" s="474">
      <c r="A20" s="525" t="n">
        <v>11</v>
      </c>
      <c r="B20" s="476">
        <f>PROPER(TRIM(LEFT(TRIM('Thông tin HV'!C14),LEN(TRIM('Thông tin HV'!C14))-LEN(C20))))</f>
        <v/>
      </c>
      <c r="C20" s="476">
        <f>PROPER(TRIM(RIGHT(SUBSTITUTE(TRIM('Thông tin HV'!C14)," ",REPT(" ",100)),100)))</f>
        <v/>
      </c>
      <c r="D20" s="526">
        <f>'Thông tin HV'!D14</f>
        <v/>
      </c>
      <c r="E20" s="478" t="inlineStr">
        <is>
          <t>Nam</t>
        </is>
      </c>
      <c r="F20" s="480" t="inlineStr">
        <is>
          <t>Xê Đăng</t>
        </is>
      </c>
      <c r="G20" s="480" t="inlineStr">
        <is>
          <t>x</t>
        </is>
      </c>
      <c r="H20" s="480" t="inlineStr">
        <is>
          <t>x</t>
        </is>
      </c>
      <c r="I20" s="480">
        <f>'Thông tin HV'!K14&amp;"/12"</f>
        <v/>
      </c>
      <c r="J20" s="480" t="n">
        <v>3</v>
      </c>
      <c r="K20" s="485">
        <f>'Thông tin HV'!O14</f>
        <v/>
      </c>
      <c r="L20" s="485">
        <f>'Thông tin HV'!P14</f>
        <v/>
      </c>
      <c r="M20" s="527" t="n"/>
    </row>
    <row r="21" ht="30.75" customFormat="1" customHeight="1" s="474">
      <c r="A21" s="525" t="n">
        <v>12</v>
      </c>
      <c r="B21" s="476">
        <f>PROPER(TRIM(LEFT(TRIM('Thông tin HV'!C15),LEN(TRIM('Thông tin HV'!C15))-LEN(C21))))</f>
        <v/>
      </c>
      <c r="C21" s="476">
        <f>PROPER(TRIM(RIGHT(SUBSTITUTE(TRIM('Thông tin HV'!C15)," ",REPT(" ",100)),100)))</f>
        <v/>
      </c>
      <c r="D21" s="526">
        <f>'Thông tin HV'!D15</f>
        <v/>
      </c>
      <c r="E21" s="478" t="inlineStr">
        <is>
          <t>Nam</t>
        </is>
      </c>
      <c r="F21" s="480" t="inlineStr">
        <is>
          <t>Xê Đăng</t>
        </is>
      </c>
      <c r="G21" s="480" t="n"/>
      <c r="H21" s="480" t="n"/>
      <c r="I21" s="480">
        <f>'Thông tin HV'!K15&amp;"/12"</f>
        <v/>
      </c>
      <c r="J21" s="480" t="n">
        <v>3</v>
      </c>
      <c r="K21" s="485">
        <f>'Thông tin HV'!O15</f>
        <v/>
      </c>
      <c r="L21" s="485">
        <f>'Thông tin HV'!P15</f>
        <v/>
      </c>
      <c r="M21" s="527" t="n"/>
    </row>
    <row r="22" ht="30.75" customFormat="1" customHeight="1" s="474">
      <c r="A22" s="525" t="n">
        <v>13</v>
      </c>
      <c r="B22" s="476">
        <f>PROPER(TRIM(LEFT(TRIM('Thông tin HV'!C16),LEN(TRIM('Thông tin HV'!C16))-LEN(C22))))</f>
        <v/>
      </c>
      <c r="C22" s="476">
        <f>PROPER(TRIM(RIGHT(SUBSTITUTE(TRIM('Thông tin HV'!C16)," ",REPT(" ",100)),100)))</f>
        <v/>
      </c>
      <c r="D22" s="526">
        <f>'Thông tin HV'!D16</f>
        <v/>
      </c>
      <c r="E22" s="478" t="inlineStr">
        <is>
          <t>Nam</t>
        </is>
      </c>
      <c r="F22" s="480" t="inlineStr">
        <is>
          <t>Xê Đăng</t>
        </is>
      </c>
      <c r="G22" s="480" t="inlineStr">
        <is>
          <t>x</t>
        </is>
      </c>
      <c r="H22" s="480" t="inlineStr">
        <is>
          <t>x</t>
        </is>
      </c>
      <c r="I22" s="480">
        <f>'Thông tin HV'!K16&amp;"/12"</f>
        <v/>
      </c>
      <c r="J22" s="480" t="n">
        <v>3</v>
      </c>
      <c r="K22" s="485">
        <f>'Thông tin HV'!O16</f>
        <v/>
      </c>
      <c r="L22" s="485">
        <f>'Thông tin HV'!P16</f>
        <v/>
      </c>
      <c r="M22" s="527" t="n"/>
    </row>
    <row r="23" ht="30.75" customFormat="1" customHeight="1" s="474">
      <c r="A23" s="525" t="n">
        <v>14</v>
      </c>
      <c r="B23" s="476">
        <f>PROPER(TRIM(LEFT(TRIM('Thông tin HV'!C17),LEN(TRIM('Thông tin HV'!C17))-LEN(C23))))</f>
        <v/>
      </c>
      <c r="C23" s="476">
        <f>PROPER(TRIM(RIGHT(SUBSTITUTE(TRIM('Thông tin HV'!C17)," ",REPT(" ",100)),100)))</f>
        <v/>
      </c>
      <c r="D23" s="526">
        <f>'Thông tin HV'!D17</f>
        <v/>
      </c>
      <c r="E23" s="478" t="inlineStr">
        <is>
          <t>Nam</t>
        </is>
      </c>
      <c r="F23" s="480" t="inlineStr">
        <is>
          <t>Xê Đăng</t>
        </is>
      </c>
      <c r="G23" s="480" t="inlineStr">
        <is>
          <t>x</t>
        </is>
      </c>
      <c r="H23" s="480" t="inlineStr">
        <is>
          <t>x</t>
        </is>
      </c>
      <c r="I23" s="480">
        <f>'Thông tin HV'!K17&amp;"/12"</f>
        <v/>
      </c>
      <c r="J23" s="480" t="n">
        <v>3</v>
      </c>
      <c r="K23" s="485">
        <f>'Thông tin HV'!O17</f>
        <v/>
      </c>
      <c r="L23" s="485">
        <f>'Thông tin HV'!P17</f>
        <v/>
      </c>
      <c r="M23" s="527" t="n"/>
    </row>
    <row r="24" ht="30.75" customFormat="1" customHeight="1" s="474">
      <c r="A24" s="525" t="n">
        <v>15</v>
      </c>
      <c r="B24" s="476">
        <f>PROPER(TRIM(LEFT(TRIM('Thông tin HV'!C18),LEN(TRIM('Thông tin HV'!C18))-LEN(C24))))</f>
        <v/>
      </c>
      <c r="C24" s="476">
        <f>PROPER(TRIM(RIGHT(SUBSTITUTE(TRIM('Thông tin HV'!C18)," ",REPT(" ",100)),100)))</f>
        <v/>
      </c>
      <c r="D24" s="526">
        <f>'Thông tin HV'!D18</f>
        <v/>
      </c>
      <c r="E24" s="478" t="inlineStr">
        <is>
          <t>Nam</t>
        </is>
      </c>
      <c r="F24" s="480" t="inlineStr">
        <is>
          <t>Xê Đăng</t>
        </is>
      </c>
      <c r="G24" s="480" t="n"/>
      <c r="H24" s="480" t="n"/>
      <c r="I24" s="480">
        <f>'Thông tin HV'!K18&amp;"/12"</f>
        <v/>
      </c>
      <c r="J24" s="480" t="n">
        <v>3</v>
      </c>
      <c r="K24" s="485">
        <f>'Thông tin HV'!O18</f>
        <v/>
      </c>
      <c r="L24" s="485">
        <f>'Thông tin HV'!P18</f>
        <v/>
      </c>
      <c r="M24" s="527" t="n"/>
    </row>
    <row r="25" ht="30.75" customFormat="1" customHeight="1" s="474">
      <c r="A25" s="525" t="n">
        <v>16</v>
      </c>
      <c r="B25" s="476">
        <f>PROPER(TRIM(LEFT(TRIM('Thông tin HV'!C19),LEN(TRIM('Thông tin HV'!C19))-LEN(C25))))</f>
        <v/>
      </c>
      <c r="C25" s="476">
        <f>PROPER(TRIM(RIGHT(SUBSTITUTE(TRIM('Thông tin HV'!C19)," ",REPT(" ",100)),100)))</f>
        <v/>
      </c>
      <c r="D25" s="526">
        <f>'Thông tin HV'!D19</f>
        <v/>
      </c>
      <c r="E25" s="478" t="inlineStr">
        <is>
          <t>Nam</t>
        </is>
      </c>
      <c r="F25" s="480" t="inlineStr">
        <is>
          <t>Xê Đăng</t>
        </is>
      </c>
      <c r="G25" s="480" t="n"/>
      <c r="H25" s="480" t="n"/>
      <c r="I25" s="480">
        <f>'Thông tin HV'!K19&amp;"/12"</f>
        <v/>
      </c>
      <c r="J25" s="480" t="n">
        <v>3</v>
      </c>
      <c r="K25" s="485">
        <f>'Thông tin HV'!O19</f>
        <v/>
      </c>
      <c r="L25" s="485">
        <f>'Thông tin HV'!P19</f>
        <v/>
      </c>
      <c r="M25" s="527" t="n"/>
    </row>
    <row r="26" ht="30.75" customFormat="1" customHeight="1" s="474">
      <c r="A26" s="525" t="n">
        <v>17</v>
      </c>
      <c r="B26" s="476">
        <f>PROPER(TRIM(LEFT(TRIM('Thông tin HV'!C20),LEN(TRIM('Thông tin HV'!C20))-LEN(C26))))</f>
        <v/>
      </c>
      <c r="C26" s="476">
        <f>PROPER(TRIM(RIGHT(SUBSTITUTE(TRIM('Thông tin HV'!C20)," ",REPT(" ",100)),100)))</f>
        <v/>
      </c>
      <c r="D26" s="526">
        <f>'Thông tin HV'!D20</f>
        <v/>
      </c>
      <c r="E26" s="478" t="inlineStr">
        <is>
          <t>Nam</t>
        </is>
      </c>
      <c r="F26" s="480" t="inlineStr">
        <is>
          <t>Xê Đăng</t>
        </is>
      </c>
      <c r="G26" s="480" t="n"/>
      <c r="H26" s="480" t="n"/>
      <c r="I26" s="480">
        <f>'Thông tin HV'!K20&amp;"/12"</f>
        <v/>
      </c>
      <c r="J26" s="480" t="n"/>
      <c r="K26" s="485">
        <f>'Thông tin HV'!O20</f>
        <v/>
      </c>
      <c r="L26" s="485">
        <f>'Thông tin HV'!P20</f>
        <v/>
      </c>
      <c r="M26" s="527" t="n"/>
    </row>
    <row r="27" ht="30.75" customFormat="1" customHeight="1" s="474">
      <c r="A27" s="525" t="n">
        <v>18</v>
      </c>
      <c r="B27" s="476">
        <f>PROPER(TRIM(LEFT(TRIM('Thông tin HV'!C21),LEN(TRIM('Thông tin HV'!C21))-LEN(C27))))</f>
        <v/>
      </c>
      <c r="C27" s="476">
        <f>PROPER(TRIM(RIGHT(SUBSTITUTE(TRIM('Thông tin HV'!C21)," ",REPT(" ",100)),100)))</f>
        <v/>
      </c>
      <c r="D27" s="526">
        <f>'Thông tin HV'!D21</f>
        <v/>
      </c>
      <c r="E27" s="478" t="inlineStr">
        <is>
          <t>Nam</t>
        </is>
      </c>
      <c r="F27" s="480" t="inlineStr">
        <is>
          <t>Xê Đăng</t>
        </is>
      </c>
      <c r="G27" s="480" t="inlineStr">
        <is>
          <t>x</t>
        </is>
      </c>
      <c r="H27" s="480" t="inlineStr">
        <is>
          <t>x</t>
        </is>
      </c>
      <c r="I27" s="480">
        <f>'Thông tin HV'!K21&amp;"/12"</f>
        <v/>
      </c>
      <c r="J27" s="480" t="n">
        <v>3</v>
      </c>
      <c r="K27" s="485">
        <f>'Thông tin HV'!O21</f>
        <v/>
      </c>
      <c r="L27" s="485">
        <f>'Thông tin HV'!P21</f>
        <v/>
      </c>
      <c r="M27" s="527" t="n"/>
    </row>
    <row r="28" ht="30.75" customFormat="1" customHeight="1" s="474">
      <c r="A28" s="525" t="n">
        <v>19</v>
      </c>
      <c r="B28" s="476">
        <f>PROPER(TRIM(LEFT(TRIM('Thông tin HV'!C22),LEN(TRIM('Thông tin HV'!C22))-LEN(C28))))</f>
        <v/>
      </c>
      <c r="C28" s="476">
        <f>PROPER(TRIM(RIGHT(SUBSTITUTE(TRIM('Thông tin HV'!C22)," ",REPT(" ",100)),100)))</f>
        <v/>
      </c>
      <c r="D28" s="526">
        <f>'Thông tin HV'!D22</f>
        <v/>
      </c>
      <c r="E28" s="478" t="inlineStr">
        <is>
          <t>Nam</t>
        </is>
      </c>
      <c r="F28" s="480" t="inlineStr">
        <is>
          <t>Xê Đăng</t>
        </is>
      </c>
      <c r="G28" s="480" t="inlineStr">
        <is>
          <t>x</t>
        </is>
      </c>
      <c r="H28" s="480" t="inlineStr">
        <is>
          <t>x</t>
        </is>
      </c>
      <c r="I28" s="480">
        <f>'Thông tin HV'!K22&amp;"/12"</f>
        <v/>
      </c>
      <c r="J28" s="480" t="n">
        <v>3</v>
      </c>
      <c r="K28" s="485">
        <f>'Thông tin HV'!O22</f>
        <v/>
      </c>
      <c r="L28" s="485">
        <f>'Thông tin HV'!P22</f>
        <v/>
      </c>
      <c r="M28" s="527" t="n"/>
    </row>
    <row r="29" ht="30.75" customFormat="1" customHeight="1" s="474">
      <c r="A29" s="525" t="n">
        <v>20</v>
      </c>
      <c r="B29" s="476">
        <f>PROPER(TRIM(LEFT(TRIM('Thông tin HV'!C23),LEN(TRIM('Thông tin HV'!C23))-LEN(C29))))</f>
        <v/>
      </c>
      <c r="C29" s="476">
        <f>PROPER(TRIM(RIGHT(SUBSTITUTE(TRIM('Thông tin HV'!C23)," ",REPT(" ",100)),100)))</f>
        <v/>
      </c>
      <c r="D29" s="526">
        <f>'Thông tin HV'!D23</f>
        <v/>
      </c>
      <c r="E29" s="478" t="inlineStr">
        <is>
          <t>Nam</t>
        </is>
      </c>
      <c r="F29" s="480" t="inlineStr">
        <is>
          <t>Xê Đăng</t>
        </is>
      </c>
      <c r="G29" s="480" t="n"/>
      <c r="H29" s="480" t="n"/>
      <c r="I29" s="480">
        <f>'Thông tin HV'!K23&amp;"/12"</f>
        <v/>
      </c>
      <c r="J29" s="480" t="n">
        <v>3</v>
      </c>
      <c r="K29" s="485">
        <f>'Thông tin HV'!O23</f>
        <v/>
      </c>
      <c r="L29" s="485">
        <f>'Thông tin HV'!P23</f>
        <v/>
      </c>
      <c r="M29" s="527" t="n"/>
    </row>
    <row r="30" ht="30.75" customFormat="1" customHeight="1" s="474">
      <c r="A30" s="525" t="n">
        <v>21</v>
      </c>
      <c r="B30" s="476">
        <f>PROPER(TRIM(LEFT(TRIM('Thông tin HV'!C24),LEN(TRIM('Thông tin HV'!C24))-LEN(C30))))</f>
        <v/>
      </c>
      <c r="C30" s="476">
        <f>PROPER(TRIM(RIGHT(SUBSTITUTE(TRIM('Thông tin HV'!C24)," ",REPT(" ",100)),100)))</f>
        <v/>
      </c>
      <c r="D30" s="526">
        <f>'Thông tin HV'!D24</f>
        <v/>
      </c>
      <c r="E30" s="478" t="inlineStr">
        <is>
          <t>Nam</t>
        </is>
      </c>
      <c r="F30" s="480" t="inlineStr">
        <is>
          <t>Xê Đăng</t>
        </is>
      </c>
      <c r="G30" s="480" t="inlineStr">
        <is>
          <t>x</t>
        </is>
      </c>
      <c r="H30" s="480" t="inlineStr">
        <is>
          <t>x</t>
        </is>
      </c>
      <c r="I30" s="480">
        <f>'Thông tin HV'!K24&amp;"/12"</f>
        <v/>
      </c>
      <c r="J30" s="480" t="n">
        <v>3</v>
      </c>
      <c r="K30" s="485">
        <f>'Thông tin HV'!O24</f>
        <v/>
      </c>
      <c r="L30" s="485">
        <f>'Thông tin HV'!P24</f>
        <v/>
      </c>
      <c r="M30" s="527" t="n"/>
    </row>
    <row r="31" ht="30.75" customFormat="1" customHeight="1" s="474">
      <c r="A31" s="525" t="n">
        <v>22</v>
      </c>
      <c r="B31" s="476">
        <f>PROPER(TRIM(LEFT(TRIM('Thông tin HV'!C25),LEN(TRIM('Thông tin HV'!C25))-LEN(C31))))</f>
        <v/>
      </c>
      <c r="C31" s="476">
        <f>PROPER(TRIM(RIGHT(SUBSTITUTE(TRIM('Thông tin HV'!C25)," ",REPT(" ",100)),100)))</f>
        <v/>
      </c>
      <c r="D31" s="526">
        <f>'Thông tin HV'!D25</f>
        <v/>
      </c>
      <c r="E31" s="478" t="inlineStr">
        <is>
          <t>Nam</t>
        </is>
      </c>
      <c r="F31" s="480" t="inlineStr">
        <is>
          <t>Xê Đăng</t>
        </is>
      </c>
      <c r="G31" s="480" t="n"/>
      <c r="H31" s="480" t="n"/>
      <c r="I31" s="480">
        <f>'Thông tin HV'!K25&amp;"/12"</f>
        <v/>
      </c>
      <c r="J31" s="480" t="n">
        <v>3</v>
      </c>
      <c r="K31" s="485">
        <f>'Thông tin HV'!O25</f>
        <v/>
      </c>
      <c r="L31" s="485">
        <f>'Thông tin HV'!P25</f>
        <v/>
      </c>
      <c r="M31" s="527" t="n"/>
    </row>
    <row r="32" ht="30.75" customFormat="1" customHeight="1" s="474">
      <c r="A32" s="525" t="n">
        <v>23</v>
      </c>
      <c r="B32" s="476">
        <f>PROPER(TRIM(LEFT(TRIM('Thông tin HV'!C26),LEN(TRIM('Thông tin HV'!C26))-LEN(C32))))</f>
        <v/>
      </c>
      <c r="C32" s="476">
        <f>PROPER(TRIM(RIGHT(SUBSTITUTE(TRIM('Thông tin HV'!C26)," ",REPT(" ",100)),100)))</f>
        <v/>
      </c>
      <c r="D32" s="526">
        <f>'Thông tin HV'!D26</f>
        <v/>
      </c>
      <c r="E32" s="478" t="inlineStr">
        <is>
          <t>Nam</t>
        </is>
      </c>
      <c r="F32" s="480" t="inlineStr">
        <is>
          <t>Xê Đăng</t>
        </is>
      </c>
      <c r="G32" s="480" t="inlineStr">
        <is>
          <t>x</t>
        </is>
      </c>
      <c r="H32" s="480" t="inlineStr">
        <is>
          <t>x</t>
        </is>
      </c>
      <c r="I32" s="480">
        <f>'Thông tin HV'!K26&amp;"/12"</f>
        <v/>
      </c>
      <c r="J32" s="480" t="n">
        <v>3</v>
      </c>
      <c r="K32" s="485">
        <f>'Thông tin HV'!O26</f>
        <v/>
      </c>
      <c r="L32" s="485">
        <f>'Thông tin HV'!P26</f>
        <v/>
      </c>
      <c r="M32" s="527" t="n"/>
    </row>
    <row r="33" ht="30.75" customFormat="1" customHeight="1" s="474">
      <c r="A33" s="525" t="n">
        <v>24</v>
      </c>
      <c r="B33" s="476">
        <f>PROPER(TRIM(LEFT(TRIM('Thông tin HV'!C27),LEN(TRIM('Thông tin HV'!C27))-LEN(C33))))</f>
        <v/>
      </c>
      <c r="C33" s="476">
        <f>PROPER(TRIM(RIGHT(SUBSTITUTE(TRIM('Thông tin HV'!C27)," ",REPT(" ",100)),100)))</f>
        <v/>
      </c>
      <c r="D33" s="526">
        <f>'Thông tin HV'!D27</f>
        <v/>
      </c>
      <c r="E33" s="478" t="inlineStr">
        <is>
          <t>Nam</t>
        </is>
      </c>
      <c r="F33" s="480" t="inlineStr">
        <is>
          <t>Gia Rai</t>
        </is>
      </c>
      <c r="G33" s="480" t="inlineStr">
        <is>
          <t>x</t>
        </is>
      </c>
      <c r="H33" s="480" t="inlineStr">
        <is>
          <t>x</t>
        </is>
      </c>
      <c r="I33" s="480">
        <f>'Thông tin HV'!K27&amp;"/12"</f>
        <v/>
      </c>
      <c r="J33" s="480" t="n">
        <v>3</v>
      </c>
      <c r="K33" s="485">
        <f>'Thông tin HV'!O27</f>
        <v/>
      </c>
      <c r="L33" s="485">
        <f>'Thông tin HV'!P27</f>
        <v/>
      </c>
      <c r="M33" s="527" t="n"/>
    </row>
    <row r="34" ht="30.75" customFormat="1" customHeight="1" s="474">
      <c r="A34" s="525" t="n">
        <v>25</v>
      </c>
      <c r="B34" s="476">
        <f>PROPER(TRIM(LEFT(TRIM('Thông tin HV'!C28),LEN(TRIM('Thông tin HV'!C28))-LEN(C34))))</f>
        <v/>
      </c>
      <c r="C34" s="476">
        <f>PROPER(TRIM(RIGHT(SUBSTITUTE(TRIM('Thông tin HV'!C28)," ",REPT(" ",100)),100)))</f>
        <v/>
      </c>
      <c r="D34" s="526">
        <f>'Thông tin HV'!D28</f>
        <v/>
      </c>
      <c r="E34" s="478" t="inlineStr">
        <is>
          <t>Nam</t>
        </is>
      </c>
      <c r="F34" s="480" t="inlineStr">
        <is>
          <t>Xê Đăng</t>
        </is>
      </c>
      <c r="G34" s="480" t="n"/>
      <c r="H34" s="480" t="n"/>
      <c r="I34" s="480">
        <f>'Thông tin HV'!K28&amp;"/12"</f>
        <v/>
      </c>
      <c r="J34" s="480" t="n">
        <v>3</v>
      </c>
      <c r="K34" s="485">
        <f>'Thông tin HV'!O28</f>
        <v/>
      </c>
      <c r="L34" s="485">
        <f>'Thông tin HV'!P28</f>
        <v/>
      </c>
      <c r="M34" s="527" t="n"/>
    </row>
    <row r="35" ht="30.75" customFormat="1" customHeight="1" s="474">
      <c r="A35" s="525" t="n">
        <v>26</v>
      </c>
      <c r="B35" s="476">
        <f>PROPER(TRIM(LEFT(TRIM('Thông tin HV'!C29),LEN(TRIM('Thông tin HV'!C29))-LEN(C35))))</f>
        <v/>
      </c>
      <c r="C35" s="476">
        <f>PROPER(TRIM(RIGHT(SUBSTITUTE(TRIM('Thông tin HV'!C29)," ",REPT(" ",100)),100)))</f>
        <v/>
      </c>
      <c r="D35" s="526">
        <f>'Thông tin HV'!D29</f>
        <v/>
      </c>
      <c r="E35" s="478" t="inlineStr">
        <is>
          <t>Nam</t>
        </is>
      </c>
      <c r="F35" s="480" t="inlineStr">
        <is>
          <t>Xê Đăng</t>
        </is>
      </c>
      <c r="G35" s="480" t="inlineStr">
        <is>
          <t>x</t>
        </is>
      </c>
      <c r="H35" s="480" t="inlineStr">
        <is>
          <t>x</t>
        </is>
      </c>
      <c r="I35" s="480">
        <f>'Thông tin HV'!K29&amp;"/12"</f>
        <v/>
      </c>
      <c r="J35" s="480" t="n">
        <v>3</v>
      </c>
      <c r="K35" s="485">
        <f>'Thông tin HV'!O29</f>
        <v/>
      </c>
      <c r="L35" s="485">
        <f>'Thông tin HV'!P29</f>
        <v/>
      </c>
      <c r="M35" s="527" t="n"/>
    </row>
    <row r="36" ht="30.75" customFormat="1" customHeight="1" s="474">
      <c r="A36" s="525" t="n">
        <v>27</v>
      </c>
      <c r="B36" s="476">
        <f>PROPER(TRIM(LEFT(TRIM('Thông tin HV'!C30),LEN(TRIM('Thông tin HV'!C30))-LEN(C36))))</f>
        <v/>
      </c>
      <c r="C36" s="476">
        <f>PROPER(TRIM(RIGHT(SUBSTITUTE(TRIM('Thông tin HV'!C30)," ",REPT(" ",100)),100)))</f>
        <v/>
      </c>
      <c r="D36" s="526">
        <f>'Thông tin HV'!D30</f>
        <v/>
      </c>
      <c r="E36" s="478" t="inlineStr">
        <is>
          <t>Nam</t>
        </is>
      </c>
      <c r="F36" s="480" t="inlineStr">
        <is>
          <t>Xê Đăng</t>
        </is>
      </c>
      <c r="G36" s="480" t="n"/>
      <c r="H36" s="480" t="n"/>
      <c r="I36" s="480">
        <f>'Thông tin HV'!K30&amp;"/12"</f>
        <v/>
      </c>
      <c r="J36" s="480" t="n">
        <v>3</v>
      </c>
      <c r="K36" s="485">
        <f>'Thông tin HV'!O30</f>
        <v/>
      </c>
      <c r="L36" s="485">
        <f>'Thông tin HV'!P30</f>
        <v/>
      </c>
      <c r="M36" s="527" t="n"/>
    </row>
    <row r="37" ht="30.75" customFormat="1" customHeight="1" s="474">
      <c r="A37" s="525" t="n">
        <v>28</v>
      </c>
      <c r="B37" s="476">
        <f>PROPER(TRIM(LEFT(TRIM('Thông tin HV'!C31),LEN(TRIM('Thông tin HV'!C31))-LEN(C37))))</f>
        <v/>
      </c>
      <c r="C37" s="476">
        <f>PROPER(TRIM(RIGHT(SUBSTITUTE(TRIM('Thông tin HV'!C31)," ",REPT(" ",100)),100)))</f>
        <v/>
      </c>
      <c r="D37" s="526">
        <f>'Thông tin HV'!D31</f>
        <v/>
      </c>
      <c r="E37" s="478" t="inlineStr">
        <is>
          <t>Nam</t>
        </is>
      </c>
      <c r="F37" s="480" t="inlineStr">
        <is>
          <t>Xê Đăng</t>
        </is>
      </c>
      <c r="G37" s="480" t="inlineStr">
        <is>
          <t>x</t>
        </is>
      </c>
      <c r="H37" s="480" t="inlineStr">
        <is>
          <t>x</t>
        </is>
      </c>
      <c r="I37" s="480">
        <f>'Thông tin HV'!K31&amp;"/12"</f>
        <v/>
      </c>
      <c r="J37" s="480" t="n">
        <v>3</v>
      </c>
      <c r="K37" s="485">
        <f>'Thông tin HV'!O31</f>
        <v/>
      </c>
      <c r="L37" s="485">
        <f>'Thông tin HV'!P31</f>
        <v/>
      </c>
      <c r="M37" s="527" t="n"/>
    </row>
    <row r="38" ht="30.75" customFormat="1" customHeight="1" s="474">
      <c r="A38" s="525" t="n">
        <v>29</v>
      </c>
      <c r="B38" s="476">
        <f>PROPER(TRIM(LEFT(TRIM('Thông tin HV'!C32),LEN(TRIM('Thông tin HV'!C32))-LEN(C38))))</f>
        <v/>
      </c>
      <c r="C38" s="476">
        <f>PROPER(TRIM(RIGHT(SUBSTITUTE(TRIM('Thông tin HV'!C32)," ",REPT(" ",100)),100)))</f>
        <v/>
      </c>
      <c r="D38" s="526">
        <f>'Thông tin HV'!D32</f>
        <v/>
      </c>
      <c r="E38" s="478" t="inlineStr">
        <is>
          <t>Nữ</t>
        </is>
      </c>
      <c r="F38" s="480" t="inlineStr">
        <is>
          <t>Xê Đăng</t>
        </is>
      </c>
      <c r="G38" s="480" t="inlineStr">
        <is>
          <t>x</t>
        </is>
      </c>
      <c r="H38" s="480" t="inlineStr">
        <is>
          <t>x</t>
        </is>
      </c>
      <c r="I38" s="480">
        <f>'Thông tin HV'!K32&amp;"/12"</f>
        <v/>
      </c>
      <c r="J38" s="480" t="n">
        <v>3</v>
      </c>
      <c r="K38" s="485">
        <f>'Thông tin HV'!O32</f>
        <v/>
      </c>
      <c r="L38" s="485">
        <f>'Thông tin HV'!P32</f>
        <v/>
      </c>
      <c r="M38" s="527" t="n"/>
    </row>
    <row r="39" ht="30.75" customFormat="1" customHeight="1" s="474">
      <c r="A39" s="525" t="n">
        <v>30</v>
      </c>
      <c r="B39" s="476">
        <f>PROPER(TRIM(LEFT(TRIM('Thông tin HV'!C33),LEN(TRIM('Thông tin HV'!C33))-LEN(C39))))</f>
        <v/>
      </c>
      <c r="C39" s="476">
        <f>PROPER(TRIM(RIGHT(SUBSTITUTE(TRIM('Thông tin HV'!C33)," ",REPT(" ",100)),100)))</f>
        <v/>
      </c>
      <c r="D39" s="526">
        <f>'Thông tin HV'!D33</f>
        <v/>
      </c>
      <c r="E39" s="478" t="inlineStr">
        <is>
          <t>Nữ</t>
        </is>
      </c>
      <c r="F39" s="480" t="inlineStr">
        <is>
          <t>Xê Đăng</t>
        </is>
      </c>
      <c r="G39" s="480" t="n"/>
      <c r="H39" s="480" t="n"/>
      <c r="I39" s="480">
        <f>'Thông tin HV'!K33&amp;"/12"</f>
        <v/>
      </c>
      <c r="J39" s="480" t="n">
        <v>3</v>
      </c>
      <c r="K39" s="485">
        <f>'Thông tin HV'!O33</f>
        <v/>
      </c>
      <c r="L39" s="485">
        <f>'Thông tin HV'!P33</f>
        <v/>
      </c>
      <c r="M39" s="527" t="n"/>
    </row>
    <row r="40" ht="30.75" customFormat="1" customHeight="1" s="474">
      <c r="A40" s="525" t="n">
        <v>31</v>
      </c>
      <c r="B40" s="476">
        <f>PROPER(TRIM(LEFT(TRIM('Thông tin HV'!C34),LEN(TRIM('Thông tin HV'!C34))-LEN(C40))))</f>
        <v/>
      </c>
      <c r="C40" s="476">
        <f>PROPER(TRIM(RIGHT(SUBSTITUTE(TRIM('Thông tin HV'!C34)," ",REPT(" ",100)),100)))</f>
        <v/>
      </c>
      <c r="D40" s="526">
        <f>'Thông tin HV'!D34</f>
        <v/>
      </c>
      <c r="E40" s="478" t="inlineStr">
        <is>
          <t>Nữ</t>
        </is>
      </c>
      <c r="F40" s="480" t="inlineStr">
        <is>
          <t>Xê Đăng</t>
        </is>
      </c>
      <c r="G40" s="480" t="inlineStr">
        <is>
          <t>x</t>
        </is>
      </c>
      <c r="H40" s="480" t="inlineStr">
        <is>
          <t>x</t>
        </is>
      </c>
      <c r="I40" s="480">
        <f>'Thông tin HV'!K34&amp;"/12"</f>
        <v/>
      </c>
      <c r="J40" s="480" t="n">
        <v>3</v>
      </c>
      <c r="K40" s="485">
        <f>'Thông tin HV'!O34</f>
        <v/>
      </c>
      <c r="L40" s="485">
        <f>'Thông tin HV'!P34</f>
        <v/>
      </c>
      <c r="M40" s="527" t="n"/>
    </row>
    <row r="41" ht="30.75" customFormat="1" customHeight="1" s="474">
      <c r="A41" s="525" t="n">
        <v>32</v>
      </c>
      <c r="B41" s="476">
        <f>PROPER(TRIM(LEFT(TRIM('Thông tin HV'!C35),LEN(TRIM('Thông tin HV'!C35))-LEN(C41))))</f>
        <v/>
      </c>
      <c r="C41" s="476">
        <f>PROPER(TRIM(RIGHT(SUBSTITUTE(TRIM('Thông tin HV'!C35)," ",REPT(" ",100)),100)))</f>
        <v/>
      </c>
      <c r="D41" s="526">
        <f>'Thông tin HV'!D35</f>
        <v/>
      </c>
      <c r="E41" s="478" t="inlineStr">
        <is>
          <t>Nữ</t>
        </is>
      </c>
      <c r="F41" s="480" t="inlineStr">
        <is>
          <t>Xê Đăng</t>
        </is>
      </c>
      <c r="G41" s="480" t="n"/>
      <c r="H41" s="480" t="n"/>
      <c r="I41" s="480">
        <f>'Thông tin HV'!K35&amp;"/12"</f>
        <v/>
      </c>
      <c r="J41" s="480" t="n">
        <v>3</v>
      </c>
      <c r="K41" s="485">
        <f>'Thông tin HV'!O35</f>
        <v/>
      </c>
      <c r="L41" s="485">
        <f>'Thông tin HV'!P35</f>
        <v/>
      </c>
      <c r="M41" s="527" t="n"/>
    </row>
    <row r="42" ht="30.75" customFormat="1" customHeight="1" s="474">
      <c r="A42" s="525" t="n">
        <v>33</v>
      </c>
      <c r="B42" s="476">
        <f>PROPER(TRIM(LEFT(TRIM('Thông tin HV'!C36),LEN(TRIM('Thông tin HV'!C36))-LEN(C42))))</f>
        <v/>
      </c>
      <c r="C42" s="476">
        <f>PROPER(TRIM(RIGHT(SUBSTITUTE(TRIM('Thông tin HV'!C36)," ",REPT(" ",100)),100)))</f>
        <v/>
      </c>
      <c r="D42" s="526">
        <f>'Thông tin HV'!D36</f>
        <v/>
      </c>
      <c r="E42" s="478" t="inlineStr">
        <is>
          <t>Nữ</t>
        </is>
      </c>
      <c r="F42" s="480" t="inlineStr">
        <is>
          <t>Xê Đăng</t>
        </is>
      </c>
      <c r="G42" s="480" t="n"/>
      <c r="H42" s="480" t="n"/>
      <c r="I42" s="480">
        <f>'Thông tin HV'!K36&amp;"/12"</f>
        <v/>
      </c>
      <c r="J42" s="480" t="n">
        <v>3</v>
      </c>
      <c r="K42" s="485">
        <f>'Thông tin HV'!O36</f>
        <v/>
      </c>
      <c r="L42" s="485">
        <f>'Thông tin HV'!P36</f>
        <v/>
      </c>
      <c r="M42" s="527" t="n"/>
    </row>
    <row r="43" ht="17.65" customFormat="1" customHeight="1" s="474">
      <c r="A43" s="528" t="n"/>
      <c r="B43" s="476">
        <f>PROPER(TRIM(LEFT(TRIM('Thông tin HV'!C37),LEN(TRIM('Thông tin HV'!C37))-LEN(C43))))</f>
        <v/>
      </c>
      <c r="C43" s="476">
        <f>PROPER(TRIM(RIGHT(SUBSTITUTE(TRIM('Thông tin HV'!C37)," ",REPT(" ",100)),100)))</f>
        <v/>
      </c>
      <c r="D43" s="526">
        <f>'Thông tin HV'!D37</f>
        <v/>
      </c>
      <c r="E43" s="529" t="n"/>
      <c r="F43" s="529" t="n"/>
      <c r="G43" s="529" t="n"/>
      <c r="H43" s="529" t="n"/>
      <c r="I43" s="480">
        <f>'Thông tin HV'!K37&amp;"/12"</f>
        <v/>
      </c>
      <c r="J43" s="529" t="n"/>
      <c r="K43" s="529" t="n"/>
      <c r="L43" s="529" t="n"/>
      <c r="M43" s="530" t="n"/>
    </row>
    <row r="44" ht="17.65" customFormat="1" customHeight="1" s="474">
      <c r="A44" s="531" t="n"/>
      <c r="B44" s="476">
        <f>PROPER(TRIM(LEFT(TRIM('Thông tin HV'!C38),LEN(TRIM('Thông tin HV'!C38))-LEN(C44))))</f>
        <v/>
      </c>
      <c r="C44" s="476">
        <f>PROPER(TRIM(RIGHT(SUBSTITUTE(TRIM('Thông tin HV'!C38)," ",REPT(" ",100)),100)))</f>
        <v/>
      </c>
      <c r="D44" s="526">
        <f>'Thông tin HV'!D38</f>
        <v/>
      </c>
      <c r="E44" s="532" t="n"/>
      <c r="F44" s="532" t="n"/>
      <c r="G44" s="532" t="n"/>
      <c r="H44" s="532" t="n"/>
      <c r="I44" s="480">
        <f>'Thông tin HV'!K38&amp;"/12"</f>
        <v/>
      </c>
      <c r="J44" s="532" t="n"/>
      <c r="K44" s="532" t="n"/>
      <c r="L44" s="532" t="n"/>
      <c r="M44" s="533" t="n"/>
    </row>
    <row r="45" ht="17.25" customFormat="1" customHeight="1" s="499">
      <c r="A45" s="534" t="n"/>
      <c r="B45" s="535" t="n"/>
      <c r="C45" s="535" t="n"/>
      <c r="D45" s="536" t="n"/>
      <c r="E45" s="536" t="n"/>
      <c r="F45" s="536" t="n"/>
      <c r="G45" s="536" t="n"/>
      <c r="H45" s="536" t="n"/>
      <c r="I45" s="536" t="n"/>
      <c r="J45" s="536" t="n"/>
      <c r="K45" s="536" t="n"/>
      <c r="L45" s="537" t="n"/>
      <c r="M45" s="538" t="n"/>
    </row>
    <row r="46" ht="25.5" customFormat="1" customHeight="1" s="539">
      <c r="A46" s="540" t="inlineStr">
        <is>
          <t xml:space="preserve">Tổng số: .....Học viên;  Trong đó:  + Nam: ....... học viên;  + Nữ:........ học viên;  + DTTS: .....học viên;  + Nữ DTTS: ...... học viên;  + Thanh niên: ..... học viên;  Thanh niên DTTS: ........học viên; </t>
        </is>
      </c>
      <c r="B46" s="541" t="n"/>
      <c r="C46" s="541" t="n"/>
      <c r="D46" s="541" t="n"/>
      <c r="E46" s="541" t="n"/>
      <c r="F46" s="541" t="n"/>
      <c r="G46" s="541" t="n"/>
      <c r="H46" s="541" t="n"/>
      <c r="I46" s="541" t="n"/>
      <c r="J46" s="541" t="n"/>
      <c r="K46" s="541" t="n"/>
      <c r="L46" s="542" t="n"/>
      <c r="M46" s="543" t="n"/>
    </row>
    <row r="47" ht="18" customFormat="1" customHeight="1" s="539">
      <c r="A47" s="544" t="inlineStr">
        <is>
          <t>- Nhóm đối tượng:</t>
        </is>
      </c>
      <c r="B47" s="545" t="n"/>
      <c r="C47" s="546" t="inlineStr">
        <is>
          <t>1. Lao động ở khu vực nông thôn:........ Học viên 
 Người trong độ tuổi lao động:........... Học viên
 Người thuộc hộ nghèo, hộ cận nghèo, hộ mới thoát nghèo:.......... Học viên
2. Lao động là thanh niên đã hoàn thành nghĩa vụ:......... Học viên
 Thanh niên hoàn thành nghĩa vụ (Quân sự, Công an, Tình nguyện…):......... Học viên
3. Lao động vùng đồng bào DTTS &amp; MN:............. Học viên   
 Người dân tộc thiểu số trong độ tuổi lao động:......... Học viên
 Người dân tộc thiểu số thuộc hộ nghèo, hộ cận nghèo, hộ mới thoát nghèo:....... Học viên 
 Người dân tộc kinh thuộc hộ nghèo, hộ cận nghèo, hộ mới thoát nghèo:........ Học viên 
4. Lao động khác:......... Học viên 
 Người thuộc diện được hưởng chính sách ưu đãi người có công với cách mạng:........Học viên
 Người thuộc hộ gia đình bị thu hồi đất nông nghiệp, đất kinh doanh, lao động nữ bị mất việc làm:........Học viên</t>
        </is>
      </c>
      <c r="M47" s="543" t="n"/>
    </row>
    <row r="48" ht="18" customFormat="1" customHeight="1" s="539">
      <c r="A48" s="544" t="n"/>
      <c r="B48" s="545" t="n"/>
      <c r="M48" s="547" t="n"/>
    </row>
    <row r="49" ht="18" customFormat="1" customHeight="1" s="539">
      <c r="A49" s="548" t="n"/>
      <c r="B49" s="542" t="n"/>
      <c r="M49" s="549" t="n"/>
    </row>
    <row r="50" ht="18" customFormat="1" customHeight="1" s="539">
      <c r="A50" s="548" t="n"/>
      <c r="B50" s="542" t="n"/>
      <c r="M50" s="549" t="n"/>
    </row>
    <row r="51" ht="20.25" customFormat="1" customHeight="1" s="550">
      <c r="A51" s="548" t="n"/>
      <c r="B51" s="542" t="n"/>
      <c r="M51" s="549" t="n"/>
      <c r="N51" s="550" t="n"/>
    </row>
    <row r="52" ht="13.5" customFormat="1" customHeight="1" s="550">
      <c r="A52" s="548" t="n"/>
      <c r="B52" s="542" t="n"/>
      <c r="M52" s="549" t="n"/>
      <c r="N52" s="551" t="n"/>
    </row>
    <row r="53" ht="13.5" customFormat="1" customHeight="1" s="550">
      <c r="A53" s="548" t="n"/>
      <c r="B53" s="542" t="n"/>
      <c r="M53" s="549" t="n"/>
      <c r="N53" s="550" t="n"/>
    </row>
    <row r="54" ht="13.15" customFormat="1" customHeight="1" s="550">
      <c r="A54" s="548" t="n"/>
      <c r="B54" s="542" t="n"/>
      <c r="M54" s="549" t="n"/>
      <c r="N54" s="550" t="n"/>
    </row>
    <row r="55" ht="13.15" customFormat="1" customHeight="1" s="550">
      <c r="A55" s="548" t="n"/>
      <c r="B55" s="542" t="n"/>
      <c r="M55" s="552" t="n"/>
      <c r="N55" s="550" t="n"/>
    </row>
    <row r="56" ht="16.5" customFormat="1" customHeight="1" s="550">
      <c r="A56" s="548" t="n"/>
      <c r="B56" s="542" t="n"/>
      <c r="M56" s="553" t="n"/>
      <c r="N56" s="550" t="n"/>
    </row>
    <row r="57" ht="15.4" customHeight="1" s="393">
      <c r="A57" s="548" t="n"/>
      <c r="B57" s="542" t="n"/>
    </row>
    <row r="58" ht="15.75" customHeight="1" s="393">
      <c r="A58" s="548" t="n"/>
      <c r="B58" s="542" t="n"/>
      <c r="C58" s="542" t="n"/>
      <c r="D58" s="542" t="n"/>
      <c r="E58" s="542" t="n"/>
      <c r="F58" s="542" t="n"/>
      <c r="G58" s="542" t="n"/>
      <c r="H58" s="542" t="n"/>
      <c r="I58" s="542" t="n"/>
      <c r="J58" s="554" t="inlineStr">
        <is>
          <t xml:space="preserve">              Đăk Hà, ngày ......tháng......năm 2026</t>
        </is>
      </c>
    </row>
    <row r="59" ht="16.5" customHeight="1" s="393">
      <c r="A59" s="555" t="inlineStr">
        <is>
          <t>TỔ …………………………</t>
        </is>
      </c>
      <c r="G59" s="556" t="n"/>
      <c r="H59" s="542" t="n"/>
      <c r="I59" s="542" t="n"/>
      <c r="J59" s="555" t="inlineStr">
        <is>
          <t xml:space="preserve">           Người lập</t>
        </is>
      </c>
    </row>
    <row r="60" ht="15.4" customHeight="1" s="393">
      <c r="D60" s="392" t="n"/>
    </row>
    <row r="61" ht="15.4" customHeight="1" s="393">
      <c r="D61" s="392" t="n"/>
    </row>
    <row r="62" ht="15.4" customHeight="1" s="393">
      <c r="D62" s="392" t="n"/>
    </row>
    <row r="63" ht="15.4" customHeight="1" s="393">
      <c r="D63" s="392" t="n"/>
    </row>
    <row r="64" ht="15.4" customHeight="1" s="393">
      <c r="D64" s="392" t="n"/>
    </row>
  </sheetData>
  <mergeCells count="13">
    <mergeCell ref="B2:G2"/>
    <mergeCell ref="A5:M5"/>
    <mergeCell ref="C47:L57"/>
    <mergeCell ref="A8:M8"/>
    <mergeCell ref="K2:L2"/>
    <mergeCell ref="A6:M6"/>
    <mergeCell ref="K1:L1"/>
    <mergeCell ref="J58:L58"/>
    <mergeCell ref="B1:G1"/>
    <mergeCell ref="J59:L59"/>
    <mergeCell ref="A7:M7"/>
    <mergeCell ref="B9:C9"/>
    <mergeCell ref="A59:F59"/>
  </mergeCells>
  <printOptions horizontalCentered="0" verticalCentered="0" headings="0" gridLines="0" gridLinesSet="1"/>
  <pageMargins left="0.354166666666667" right="0.236111111111111" top="0.472222222222222" bottom="0.551388888888889" header="0.511811023622047" footer="0.511811023622047"/>
  <pageSetup orientation="landscape" paperSize="9" scale="100" fitToHeight="2"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N75"/>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I13" activeCellId="0" sqref="I13"/>
    </sheetView>
  </sheetViews>
  <sheetFormatPr baseColWidth="8" defaultColWidth="8.99609375" defaultRowHeight="15.4" zeroHeight="0" outlineLevelRow="0"/>
  <cols>
    <col width="4.87" customWidth="1" style="456" min="1" max="1"/>
    <col width="13.5" customWidth="1" style="392" min="2" max="3"/>
    <col width="10.93" customWidth="1" style="457" min="4" max="4"/>
    <col width="6.99" customWidth="1" style="392" min="5" max="5"/>
    <col width="9.119999999999999" customWidth="1" style="392" min="6" max="6"/>
    <col width="6.87" customWidth="1" style="392" min="7" max="7"/>
    <col width="8.369999999999999" customWidth="1" style="392" min="8" max="8"/>
    <col width="8.24" customWidth="1" style="392" min="9" max="9"/>
    <col width="8.5" customWidth="1" style="392" min="10" max="10"/>
    <col width="38.37" customWidth="1" style="392" min="11" max="11"/>
    <col width="39.87" customWidth="1" style="392" min="12" max="12"/>
    <col width="7.5" customWidth="1" style="392" min="13" max="13"/>
    <col width="8.99" customWidth="1" style="392" min="14" max="257"/>
  </cols>
  <sheetData>
    <row r="1" ht="16.5" customHeight="1" s="393">
      <c r="A1" s="510" t="n"/>
      <c r="B1" s="511" t="inlineStr">
        <is>
          <t>SỞ GIÁO DỤC VÀ ĐÀO TẠO TỈNH QUẢNG NGÃI</t>
        </is>
      </c>
      <c r="H1" s="510" t="n"/>
      <c r="I1" s="512" t="n"/>
      <c r="J1" s="512" t="n"/>
      <c r="K1" s="513" t="inlineStr">
        <is>
          <t>CỘNG HÒA XÃ HỘI CHỦ NGHĨA VIỆT NAM</t>
        </is>
      </c>
      <c r="M1" s="512" t="n"/>
    </row>
    <row r="2" ht="17.25" customHeight="1" s="393">
      <c r="A2" s="510" t="n"/>
      <c r="B2" s="513" t="inlineStr">
        <is>
          <t>TRUNG TÂM GDNN-GDTX KHU VỰC ĐĂK HÀ</t>
        </is>
      </c>
      <c r="H2" s="510" t="n"/>
      <c r="I2" s="512" t="n"/>
      <c r="J2" s="512" t="n"/>
      <c r="K2" s="514" t="inlineStr">
        <is>
          <t>Độc lập - Tự do - Hạnh phúc</t>
        </is>
      </c>
      <c r="M2" s="512" t="n"/>
    </row>
    <row r="3" hidden="1" ht="14.25" customHeight="1" s="393">
      <c r="A3" s="515" t="n"/>
      <c r="B3" s="515" t="n"/>
      <c r="C3" s="515" t="n"/>
      <c r="D3" s="516" t="n"/>
      <c r="E3" s="515" t="n"/>
      <c r="F3" s="515" t="n"/>
      <c r="G3" s="515" t="n"/>
      <c r="H3" s="515" t="n"/>
      <c r="I3" s="515" t="n"/>
      <c r="J3" s="515" t="n"/>
      <c r="K3" s="515" t="n"/>
      <c r="L3" s="515" t="n"/>
      <c r="M3" s="517" t="n"/>
    </row>
    <row r="4" ht="11.25" customHeight="1" s="393">
      <c r="A4" s="517" t="n"/>
      <c r="B4" s="517" t="n"/>
      <c r="C4" s="517" t="n"/>
      <c r="D4" s="518" t="n"/>
      <c r="E4" s="517" t="n"/>
      <c r="F4" s="517" t="n"/>
      <c r="G4" s="517" t="n"/>
      <c r="H4" s="517" t="n"/>
      <c r="I4" s="517" t="n"/>
      <c r="J4" s="517" t="n"/>
      <c r="K4" s="517" t="n"/>
      <c r="L4" s="517" t="n"/>
      <c r="M4" s="517" t="n"/>
    </row>
    <row r="5" ht="24" customHeight="1" s="393">
      <c r="A5" s="519" t="inlineStr">
        <is>
          <t>DANH SÁCH TRÍCH NGANG HỌC VIÊN</t>
        </is>
      </c>
    </row>
    <row r="6" ht="17.25" customHeight="1" s="393">
      <c r="A6" s="514">
        <f>"Tham gia lớp Đào tạo Nghề: "&amp;UPPER('KHÓA HỌC'!D5)&amp;"; Khóa: "&amp;'KHÓA HỌC'!D3&amp;"; Năm "&amp;'KHÓA HỌC'!D4</f>
        <v/>
      </c>
    </row>
    <row r="7" ht="17.25" customHeight="1" s="393">
      <c r="A7" s="514" t="inlineStr">
        <is>
          <t xml:space="preserve"> Địa điểm mở lớp: ....................................................................................................</t>
        </is>
      </c>
    </row>
    <row r="8" ht="21" customHeight="1" s="393">
      <c r="A8" s="520" t="inlineStr">
        <is>
          <t>(Danh sách kèm theo Quyết định số:       /QĐ-GDNN-GDTX ngày      tháng      năm 2026 của Giám đốc Trung tâm GDNN-GDTX khu vực Đăk Hà)</t>
        </is>
      </c>
    </row>
    <row r="9" ht="45" customFormat="1" customHeight="1" s="521">
      <c r="A9" s="522" t="inlineStr">
        <is>
          <t>Số
TT</t>
        </is>
      </c>
      <c r="B9" s="523" t="inlineStr">
        <is>
          <t>Họ và tên</t>
        </is>
      </c>
      <c r="C9" s="407" t="n"/>
      <c r="D9" s="524" t="inlineStr">
        <is>
          <t>Ngày, tháng, năm sinh</t>
        </is>
      </c>
      <c r="E9" s="522" t="inlineStr">
        <is>
          <t>Giới tính</t>
        </is>
      </c>
      <c r="F9" s="522" t="inlineStr">
        <is>
          <t>Dân tộc</t>
        </is>
      </c>
      <c r="G9" s="522" t="inlineStr">
        <is>
          <t xml:space="preserve">Thanh niên </t>
        </is>
      </c>
      <c r="H9" s="522" t="inlineStr">
        <is>
          <t>Thanh niên DTTS</t>
        </is>
      </c>
      <c r="I9" s="522" t="inlineStr">
        <is>
          <t>Trình độ văn hóa</t>
        </is>
      </c>
      <c r="J9" s="522" t="inlineStr">
        <is>
          <t>Nhóm đối tượng</t>
        </is>
      </c>
      <c r="K9" s="523" t="inlineStr">
        <is>
          <t>Nguyên quán</t>
        </is>
      </c>
      <c r="L9" s="523" t="inlineStr">
        <is>
          <t>Nơi cư trú</t>
        </is>
      </c>
      <c r="M9" s="522" t="inlineStr">
        <is>
          <t>Ghi chú</t>
        </is>
      </c>
    </row>
    <row r="10" ht="19.5" customFormat="1" customHeight="1" s="474">
      <c r="A10" s="525" t="n">
        <v>1</v>
      </c>
      <c r="B10" s="476">
        <f>PROPER(TRIM(LEFT(TRIM('Thông tin HV'!C4),LEN(TRIM('Thông tin HV'!C4))-LEN(C10))))</f>
        <v/>
      </c>
      <c r="C10" s="476">
        <f>PROPER(TRIM(RIGHT(SUBSTITUTE(TRIM('Thông tin HV'!C4)," ",REPT(" ",100)),100)))</f>
        <v/>
      </c>
      <c r="D10" s="526">
        <f>'Thông tin HV'!D4</f>
        <v/>
      </c>
      <c r="E10" s="478">
        <f>'Thông tin HV'!E4</f>
        <v/>
      </c>
      <c r="F10" s="480">
        <f>'Thông tin HV'!G4</f>
        <v/>
      </c>
      <c r="G10" s="480">
        <f>'Thông tin HV'!I4</f>
        <v/>
      </c>
      <c r="H10" s="480">
        <f>'Thông tin HV'!J4</f>
        <v/>
      </c>
      <c r="I10" s="557">
        <f>'Thông tin HV'!K4&amp;"/12"</f>
        <v/>
      </c>
      <c r="J10" s="480">
        <f>'Thông tin HV'!M4</f>
        <v/>
      </c>
      <c r="K10" s="480">
        <f>'Thông tin HV'!O4</f>
        <v/>
      </c>
      <c r="L10" s="480">
        <f>'Thông tin HV'!P4</f>
        <v/>
      </c>
      <c r="M10" s="527" t="n"/>
    </row>
    <row r="11" ht="19.5" customFormat="1" customHeight="1" s="474">
      <c r="A11" s="525" t="n">
        <v>2</v>
      </c>
      <c r="B11" s="476">
        <f>PROPER(TRIM(LEFT(TRIM('Thông tin HV'!C5),LEN(TRIM('Thông tin HV'!C5))-LEN(C11))))</f>
        <v/>
      </c>
      <c r="C11" s="476">
        <f>PROPER(TRIM(RIGHT(SUBSTITUTE(TRIM('Thông tin HV'!C5)," ",REPT(" ",100)),100)))</f>
        <v/>
      </c>
      <c r="D11" s="526">
        <f>'Thông tin HV'!D5</f>
        <v/>
      </c>
      <c r="E11" s="478" t="inlineStr">
        <is>
          <t>Nam</t>
        </is>
      </c>
      <c r="F11" s="480">
        <f>'Thông tin HV'!G5</f>
        <v/>
      </c>
      <c r="G11" s="480">
        <f>'Thông tin HV'!I5</f>
        <v/>
      </c>
      <c r="H11" s="480">
        <f>'Thông tin HV'!J5</f>
        <v/>
      </c>
      <c r="I11" s="557">
        <f>'Thông tin HV'!K5&amp;"/12"</f>
        <v/>
      </c>
      <c r="J11" s="480">
        <f>'Thông tin HV'!M5</f>
        <v/>
      </c>
      <c r="K11" s="480">
        <f>'Thông tin HV'!O5</f>
        <v/>
      </c>
      <c r="L11" s="480">
        <f>'Thông tin HV'!P5</f>
        <v/>
      </c>
      <c r="M11" s="527" t="n"/>
    </row>
    <row r="12" ht="19.5" customFormat="1" customHeight="1" s="474">
      <c r="A12" s="525" t="n">
        <v>3</v>
      </c>
      <c r="B12" s="476">
        <f>PROPER(TRIM(LEFT(TRIM('Thông tin HV'!C6),LEN(TRIM('Thông tin HV'!C6))-LEN(C12))))</f>
        <v/>
      </c>
      <c r="C12" s="476">
        <f>PROPER(TRIM(RIGHT(SUBSTITUTE(TRIM('Thông tin HV'!C6)," ",REPT(" ",100)),100)))</f>
        <v/>
      </c>
      <c r="D12" s="526">
        <f>'Thông tin HV'!D6</f>
        <v/>
      </c>
      <c r="E12" s="478" t="inlineStr">
        <is>
          <t>Nam</t>
        </is>
      </c>
      <c r="F12" s="480">
        <f>'Thông tin HV'!G6</f>
        <v/>
      </c>
      <c r="G12" s="480">
        <f>'Thông tin HV'!I6</f>
        <v/>
      </c>
      <c r="H12" s="480">
        <f>'Thông tin HV'!J6</f>
        <v/>
      </c>
      <c r="I12" s="557">
        <f>'Thông tin HV'!K6&amp;"/12"</f>
        <v/>
      </c>
      <c r="J12" s="480">
        <f>'Thông tin HV'!M6</f>
        <v/>
      </c>
      <c r="K12" s="480">
        <f>'Thông tin HV'!O6</f>
        <v/>
      </c>
      <c r="L12" s="480">
        <f>'Thông tin HV'!P6</f>
        <v/>
      </c>
      <c r="M12" s="527" t="n"/>
    </row>
    <row r="13" ht="19.5" customFormat="1" customHeight="1" s="474">
      <c r="A13" s="525" t="n">
        <v>4</v>
      </c>
      <c r="B13" s="476">
        <f>PROPER(TRIM(LEFT(TRIM('Thông tin HV'!C7),LEN(TRIM('Thông tin HV'!C7))-LEN(C13))))</f>
        <v/>
      </c>
      <c r="C13" s="476">
        <f>PROPER(TRIM(RIGHT(SUBSTITUTE(TRIM('Thông tin HV'!C7)," ",REPT(" ",100)),100)))</f>
        <v/>
      </c>
      <c r="D13" s="526">
        <f>'Thông tin HV'!D7</f>
        <v/>
      </c>
      <c r="E13" s="478" t="inlineStr">
        <is>
          <t>Nam</t>
        </is>
      </c>
      <c r="F13" s="480">
        <f>'Thông tin HV'!G7</f>
        <v/>
      </c>
      <c r="G13" s="480">
        <f>'Thông tin HV'!I7</f>
        <v/>
      </c>
      <c r="H13" s="480">
        <f>'Thông tin HV'!J7</f>
        <v/>
      </c>
      <c r="I13" s="557">
        <f>'Thông tin HV'!K7&amp;"/12"</f>
        <v/>
      </c>
      <c r="J13" s="480">
        <f>'Thông tin HV'!M7</f>
        <v/>
      </c>
      <c r="K13" s="480">
        <f>'Thông tin HV'!O7</f>
        <v/>
      </c>
      <c r="L13" s="480">
        <f>'Thông tin HV'!P7</f>
        <v/>
      </c>
      <c r="M13" s="527" t="n"/>
    </row>
    <row r="14" ht="19.5" customFormat="1" customHeight="1" s="474">
      <c r="A14" s="525" t="n">
        <v>5</v>
      </c>
      <c r="B14" s="476">
        <f>PROPER(TRIM(LEFT(TRIM('Thông tin HV'!C8),LEN(TRIM('Thông tin HV'!C8))-LEN(C14))))</f>
        <v/>
      </c>
      <c r="C14" s="476">
        <f>PROPER(TRIM(RIGHT(SUBSTITUTE(TRIM('Thông tin HV'!C8)," ",REPT(" ",100)),100)))</f>
        <v/>
      </c>
      <c r="D14" s="526">
        <f>'Thông tin HV'!D8</f>
        <v/>
      </c>
      <c r="E14" s="478" t="inlineStr">
        <is>
          <t>Nam</t>
        </is>
      </c>
      <c r="F14" s="480">
        <f>'Thông tin HV'!G8</f>
        <v/>
      </c>
      <c r="G14" s="480">
        <f>'Thông tin HV'!I8</f>
        <v/>
      </c>
      <c r="H14" s="480">
        <f>'Thông tin HV'!J8</f>
        <v/>
      </c>
      <c r="I14" s="557">
        <f>'Thông tin HV'!K8&amp;"/12"</f>
        <v/>
      </c>
      <c r="J14" s="480">
        <f>'Thông tin HV'!M8</f>
        <v/>
      </c>
      <c r="K14" s="480">
        <f>'Thông tin HV'!O8</f>
        <v/>
      </c>
      <c r="L14" s="480">
        <f>'Thông tin HV'!P8</f>
        <v/>
      </c>
      <c r="M14" s="527" t="n"/>
    </row>
    <row r="15" ht="19.5" customFormat="1" customHeight="1" s="474">
      <c r="A15" s="525" t="n">
        <v>6</v>
      </c>
      <c r="B15" s="476">
        <f>PROPER(TRIM(LEFT(TRIM('Thông tin HV'!C9),LEN(TRIM('Thông tin HV'!C9))-LEN(C15))))</f>
        <v/>
      </c>
      <c r="C15" s="476">
        <f>PROPER(TRIM(RIGHT(SUBSTITUTE(TRIM('Thông tin HV'!C9)," ",REPT(" ",100)),100)))</f>
        <v/>
      </c>
      <c r="D15" s="526">
        <f>'Thông tin HV'!D9</f>
        <v/>
      </c>
      <c r="E15" s="478" t="inlineStr">
        <is>
          <t>Nam</t>
        </is>
      </c>
      <c r="F15" s="480">
        <f>'Thông tin HV'!G9</f>
        <v/>
      </c>
      <c r="G15" s="480">
        <f>'Thông tin HV'!I9</f>
        <v/>
      </c>
      <c r="H15" s="480">
        <f>'Thông tin HV'!J9</f>
        <v/>
      </c>
      <c r="I15" s="557">
        <f>'Thông tin HV'!K9&amp;"/12"</f>
        <v/>
      </c>
      <c r="J15" s="480">
        <f>'Thông tin HV'!M9</f>
        <v/>
      </c>
      <c r="K15" s="480">
        <f>'Thông tin HV'!O9</f>
        <v/>
      </c>
      <c r="L15" s="480">
        <f>'Thông tin HV'!P9</f>
        <v/>
      </c>
      <c r="M15" s="527" t="n"/>
    </row>
    <row r="16" ht="19.5" customFormat="1" customHeight="1" s="474">
      <c r="A16" s="525" t="n">
        <v>7</v>
      </c>
      <c r="B16" s="476">
        <f>PROPER(TRIM(LEFT(TRIM('Thông tin HV'!C10),LEN(TRIM('Thông tin HV'!C10))-LEN(C16))))</f>
        <v/>
      </c>
      <c r="C16" s="476">
        <f>PROPER(TRIM(RIGHT(SUBSTITUTE(TRIM('Thông tin HV'!C10)," ",REPT(" ",100)),100)))</f>
        <v/>
      </c>
      <c r="D16" s="526">
        <f>'Thông tin HV'!D10</f>
        <v/>
      </c>
      <c r="E16" s="478" t="inlineStr">
        <is>
          <t>Nam</t>
        </is>
      </c>
      <c r="F16" s="480">
        <f>'Thông tin HV'!G10</f>
        <v/>
      </c>
      <c r="G16" s="480">
        <f>'Thông tin HV'!I10</f>
        <v/>
      </c>
      <c r="H16" s="480">
        <f>'Thông tin HV'!J10</f>
        <v/>
      </c>
      <c r="I16" s="557">
        <f>'Thông tin HV'!K10&amp;"/12"</f>
        <v/>
      </c>
      <c r="J16" s="480">
        <f>'Thông tin HV'!M10</f>
        <v/>
      </c>
      <c r="K16" s="480">
        <f>'Thông tin HV'!O10</f>
        <v/>
      </c>
      <c r="L16" s="480">
        <f>'Thông tin HV'!P10</f>
        <v/>
      </c>
      <c r="M16" s="527" t="n"/>
    </row>
    <row r="17" ht="19.5" customFormat="1" customHeight="1" s="474">
      <c r="A17" s="525" t="n">
        <v>8</v>
      </c>
      <c r="B17" s="476">
        <f>PROPER(TRIM(LEFT(TRIM('Thông tin HV'!C11),LEN(TRIM('Thông tin HV'!C11))-LEN(C17))))</f>
        <v/>
      </c>
      <c r="C17" s="476">
        <f>PROPER(TRIM(RIGHT(SUBSTITUTE(TRIM('Thông tin HV'!C11)," ",REPT(" ",100)),100)))</f>
        <v/>
      </c>
      <c r="D17" s="526">
        <f>'Thông tin HV'!D11</f>
        <v/>
      </c>
      <c r="E17" s="478" t="inlineStr">
        <is>
          <t>Nam</t>
        </is>
      </c>
      <c r="F17" s="480">
        <f>'Thông tin HV'!G11</f>
        <v/>
      </c>
      <c r="G17" s="480">
        <f>'Thông tin HV'!I11</f>
        <v/>
      </c>
      <c r="H17" s="480">
        <f>'Thông tin HV'!J11</f>
        <v/>
      </c>
      <c r="I17" s="557">
        <f>'Thông tin HV'!K11&amp;"/12"</f>
        <v/>
      </c>
      <c r="J17" s="480">
        <f>'Thông tin HV'!M11</f>
        <v/>
      </c>
      <c r="K17" s="480">
        <f>'Thông tin HV'!O11</f>
        <v/>
      </c>
      <c r="L17" s="480">
        <f>'Thông tin HV'!P11</f>
        <v/>
      </c>
      <c r="M17" s="527" t="n"/>
    </row>
    <row r="18" ht="19.5" customFormat="1" customHeight="1" s="474">
      <c r="A18" s="525" t="n">
        <v>9</v>
      </c>
      <c r="B18" s="476">
        <f>PROPER(TRIM(LEFT(TRIM('Thông tin HV'!C12),LEN(TRIM('Thông tin HV'!C12))-LEN(C18))))</f>
        <v/>
      </c>
      <c r="C18" s="476">
        <f>PROPER(TRIM(RIGHT(SUBSTITUTE(TRIM('Thông tin HV'!C12)," ",REPT(" ",100)),100)))</f>
        <v/>
      </c>
      <c r="D18" s="526">
        <f>'Thông tin HV'!D12</f>
        <v/>
      </c>
      <c r="E18" s="478" t="inlineStr">
        <is>
          <t>Nam</t>
        </is>
      </c>
      <c r="F18" s="480">
        <f>'Thông tin HV'!G12</f>
        <v/>
      </c>
      <c r="G18" s="480">
        <f>'Thông tin HV'!I12</f>
        <v/>
      </c>
      <c r="H18" s="480">
        <f>'Thông tin HV'!J12</f>
        <v/>
      </c>
      <c r="I18" s="557">
        <f>'Thông tin HV'!K12&amp;"/12"</f>
        <v/>
      </c>
      <c r="J18" s="480">
        <f>'Thông tin HV'!M12</f>
        <v/>
      </c>
      <c r="K18" s="480">
        <f>'Thông tin HV'!O12</f>
        <v/>
      </c>
      <c r="L18" s="480">
        <f>'Thông tin HV'!P12</f>
        <v/>
      </c>
      <c r="M18" s="527" t="n"/>
    </row>
    <row r="19" ht="19.5" customFormat="1" customHeight="1" s="474">
      <c r="A19" s="525" t="n">
        <v>10</v>
      </c>
      <c r="B19" s="476">
        <f>PROPER(TRIM(LEFT(TRIM('Thông tin HV'!C13),LEN(TRIM('Thông tin HV'!C13))-LEN(C19))))</f>
        <v/>
      </c>
      <c r="C19" s="476">
        <f>PROPER(TRIM(RIGHT(SUBSTITUTE(TRIM('Thông tin HV'!C13)," ",REPT(" ",100)),100)))</f>
        <v/>
      </c>
      <c r="D19" s="526">
        <f>'Thông tin HV'!D13</f>
        <v/>
      </c>
      <c r="E19" s="478" t="inlineStr">
        <is>
          <t>Nam</t>
        </is>
      </c>
      <c r="F19" s="480">
        <f>'Thông tin HV'!G13</f>
        <v/>
      </c>
      <c r="G19" s="480">
        <f>'Thông tin HV'!I13</f>
        <v/>
      </c>
      <c r="H19" s="480">
        <f>'Thông tin HV'!J13</f>
        <v/>
      </c>
      <c r="I19" s="557">
        <f>'Thông tin HV'!K13&amp;"/12"</f>
        <v/>
      </c>
      <c r="J19" s="480">
        <f>'Thông tin HV'!M13</f>
        <v/>
      </c>
      <c r="K19" s="480">
        <f>'Thông tin HV'!O13</f>
        <v/>
      </c>
      <c r="L19" s="480">
        <f>'Thông tin HV'!P13</f>
        <v/>
      </c>
      <c r="M19" s="527" t="n"/>
    </row>
    <row r="20" ht="19.5" customFormat="1" customHeight="1" s="474">
      <c r="A20" s="525" t="n">
        <v>11</v>
      </c>
      <c r="B20" s="476">
        <f>PROPER(TRIM(LEFT(TRIM('Thông tin HV'!C14),LEN(TRIM('Thông tin HV'!C14))-LEN(C20))))</f>
        <v/>
      </c>
      <c r="C20" s="476">
        <f>PROPER(TRIM(RIGHT(SUBSTITUTE(TRIM('Thông tin HV'!C14)," ",REPT(" ",100)),100)))</f>
        <v/>
      </c>
      <c r="D20" s="526">
        <f>'Thông tin HV'!D14</f>
        <v/>
      </c>
      <c r="E20" s="478" t="inlineStr">
        <is>
          <t>Nam</t>
        </is>
      </c>
      <c r="F20" s="480">
        <f>'Thông tin HV'!G14</f>
        <v/>
      </c>
      <c r="G20" s="480">
        <f>'Thông tin HV'!I14</f>
        <v/>
      </c>
      <c r="H20" s="480">
        <f>'Thông tin HV'!J14</f>
        <v/>
      </c>
      <c r="I20" s="557">
        <f>'Thông tin HV'!K14&amp;"/12"</f>
        <v/>
      </c>
      <c r="J20" s="480">
        <f>'Thông tin HV'!M14</f>
        <v/>
      </c>
      <c r="K20" s="480">
        <f>'Thông tin HV'!O14</f>
        <v/>
      </c>
      <c r="L20" s="480">
        <f>'Thông tin HV'!P14</f>
        <v/>
      </c>
      <c r="M20" s="527" t="n"/>
    </row>
    <row r="21" ht="19.5" customFormat="1" customHeight="1" s="474">
      <c r="A21" s="525" t="n">
        <v>12</v>
      </c>
      <c r="B21" s="476">
        <f>PROPER(TRIM(LEFT(TRIM('Thông tin HV'!C15),LEN(TRIM('Thông tin HV'!C15))-LEN(C21))))</f>
        <v/>
      </c>
      <c r="C21" s="476">
        <f>PROPER(TRIM(RIGHT(SUBSTITUTE(TRIM('Thông tin HV'!C15)," ",REPT(" ",100)),100)))</f>
        <v/>
      </c>
      <c r="D21" s="526">
        <f>'Thông tin HV'!D15</f>
        <v/>
      </c>
      <c r="E21" s="478" t="inlineStr">
        <is>
          <t>Nam</t>
        </is>
      </c>
      <c r="F21" s="480">
        <f>'Thông tin HV'!G15</f>
        <v/>
      </c>
      <c r="G21" s="480">
        <f>'Thông tin HV'!I15</f>
        <v/>
      </c>
      <c r="H21" s="480">
        <f>'Thông tin HV'!J15</f>
        <v/>
      </c>
      <c r="I21" s="557">
        <f>'Thông tin HV'!K15&amp;"/12"</f>
        <v/>
      </c>
      <c r="J21" s="480">
        <f>'Thông tin HV'!M15</f>
        <v/>
      </c>
      <c r="K21" s="480">
        <f>'Thông tin HV'!O15</f>
        <v/>
      </c>
      <c r="L21" s="480">
        <f>'Thông tin HV'!P15</f>
        <v/>
      </c>
      <c r="M21" s="527" t="n"/>
    </row>
    <row r="22" ht="19.5" customFormat="1" customHeight="1" s="474">
      <c r="A22" s="525" t="n">
        <v>13</v>
      </c>
      <c r="B22" s="476">
        <f>PROPER(TRIM(LEFT(TRIM('Thông tin HV'!C16),LEN(TRIM('Thông tin HV'!C16))-LEN(C22))))</f>
        <v/>
      </c>
      <c r="C22" s="476">
        <f>PROPER(TRIM(RIGHT(SUBSTITUTE(TRIM('Thông tin HV'!C16)," ",REPT(" ",100)),100)))</f>
        <v/>
      </c>
      <c r="D22" s="526">
        <f>'Thông tin HV'!D16</f>
        <v/>
      </c>
      <c r="E22" s="478" t="inlineStr">
        <is>
          <t>Nam</t>
        </is>
      </c>
      <c r="F22" s="480">
        <f>'Thông tin HV'!G16</f>
        <v/>
      </c>
      <c r="G22" s="480">
        <f>'Thông tin HV'!I16</f>
        <v/>
      </c>
      <c r="H22" s="480">
        <f>'Thông tin HV'!J16</f>
        <v/>
      </c>
      <c r="I22" s="557">
        <f>'Thông tin HV'!K16&amp;"/12"</f>
        <v/>
      </c>
      <c r="J22" s="480">
        <f>'Thông tin HV'!M16</f>
        <v/>
      </c>
      <c r="K22" s="480">
        <f>'Thông tin HV'!O16</f>
        <v/>
      </c>
      <c r="L22" s="480">
        <f>'Thông tin HV'!P16</f>
        <v/>
      </c>
      <c r="M22" s="527" t="n"/>
    </row>
    <row r="23" ht="19.5" customFormat="1" customHeight="1" s="474">
      <c r="A23" s="525" t="n">
        <v>14</v>
      </c>
      <c r="B23" s="476">
        <f>PROPER(TRIM(LEFT(TRIM('Thông tin HV'!C17),LEN(TRIM('Thông tin HV'!C17))-LEN(C23))))</f>
        <v/>
      </c>
      <c r="C23" s="476">
        <f>PROPER(TRIM(RIGHT(SUBSTITUTE(TRIM('Thông tin HV'!C17)," ",REPT(" ",100)),100)))</f>
        <v/>
      </c>
      <c r="D23" s="526">
        <f>'Thông tin HV'!D17</f>
        <v/>
      </c>
      <c r="E23" s="478" t="inlineStr">
        <is>
          <t>Nam</t>
        </is>
      </c>
      <c r="F23" s="480">
        <f>'Thông tin HV'!G17</f>
        <v/>
      </c>
      <c r="G23" s="480">
        <f>'Thông tin HV'!I17</f>
        <v/>
      </c>
      <c r="H23" s="480">
        <f>'Thông tin HV'!J17</f>
        <v/>
      </c>
      <c r="I23" s="557">
        <f>'Thông tin HV'!K17&amp;"/12"</f>
        <v/>
      </c>
      <c r="J23" s="480">
        <f>'Thông tin HV'!M17</f>
        <v/>
      </c>
      <c r="K23" s="480">
        <f>'Thông tin HV'!O17</f>
        <v/>
      </c>
      <c r="L23" s="480">
        <f>'Thông tin HV'!P17</f>
        <v/>
      </c>
      <c r="M23" s="527" t="n"/>
    </row>
    <row r="24" ht="19.5" customFormat="1" customHeight="1" s="474">
      <c r="A24" s="525" t="n">
        <v>15</v>
      </c>
      <c r="B24" s="476">
        <f>PROPER(TRIM(LEFT(TRIM('Thông tin HV'!C18),LEN(TRIM('Thông tin HV'!C18))-LEN(C24))))</f>
        <v/>
      </c>
      <c r="C24" s="476">
        <f>PROPER(TRIM(RIGHT(SUBSTITUTE(TRIM('Thông tin HV'!C18)," ",REPT(" ",100)),100)))</f>
        <v/>
      </c>
      <c r="D24" s="526">
        <f>'Thông tin HV'!D18</f>
        <v/>
      </c>
      <c r="E24" s="478" t="inlineStr">
        <is>
          <t>Nam</t>
        </is>
      </c>
      <c r="F24" s="480">
        <f>'Thông tin HV'!G18</f>
        <v/>
      </c>
      <c r="G24" s="480">
        <f>'Thông tin HV'!I18</f>
        <v/>
      </c>
      <c r="H24" s="480">
        <f>'Thông tin HV'!J18</f>
        <v/>
      </c>
      <c r="I24" s="557">
        <f>'Thông tin HV'!K18&amp;"/12"</f>
        <v/>
      </c>
      <c r="J24" s="480">
        <f>'Thông tin HV'!M18</f>
        <v/>
      </c>
      <c r="K24" s="480">
        <f>'Thông tin HV'!O18</f>
        <v/>
      </c>
      <c r="L24" s="480">
        <f>'Thông tin HV'!P18</f>
        <v/>
      </c>
      <c r="M24" s="527" t="n"/>
    </row>
    <row r="25" ht="19.5" customFormat="1" customHeight="1" s="474">
      <c r="A25" s="525" t="n">
        <v>16</v>
      </c>
      <c r="B25" s="476">
        <f>PROPER(TRIM(LEFT(TRIM('Thông tin HV'!C19),LEN(TRIM('Thông tin HV'!C19))-LEN(C25))))</f>
        <v/>
      </c>
      <c r="C25" s="476">
        <f>PROPER(TRIM(RIGHT(SUBSTITUTE(TRIM('Thông tin HV'!C19)," ",REPT(" ",100)),100)))</f>
        <v/>
      </c>
      <c r="D25" s="526">
        <f>'Thông tin HV'!D19</f>
        <v/>
      </c>
      <c r="E25" s="478" t="inlineStr">
        <is>
          <t>Nam</t>
        </is>
      </c>
      <c r="F25" s="480">
        <f>'Thông tin HV'!G19</f>
        <v/>
      </c>
      <c r="G25" s="480">
        <f>'Thông tin HV'!I19</f>
        <v/>
      </c>
      <c r="H25" s="480">
        <f>'Thông tin HV'!J19</f>
        <v/>
      </c>
      <c r="I25" s="557">
        <f>'Thông tin HV'!K19&amp;"/12"</f>
        <v/>
      </c>
      <c r="J25" s="480">
        <f>'Thông tin HV'!M19</f>
        <v/>
      </c>
      <c r="K25" s="480">
        <f>'Thông tin HV'!O19</f>
        <v/>
      </c>
      <c r="L25" s="480">
        <f>'Thông tin HV'!P19</f>
        <v/>
      </c>
      <c r="M25" s="527" t="n"/>
    </row>
    <row r="26" ht="19.5" customFormat="1" customHeight="1" s="474">
      <c r="A26" s="525" t="n">
        <v>17</v>
      </c>
      <c r="B26" s="476">
        <f>PROPER(TRIM(LEFT(TRIM('Thông tin HV'!C20),LEN(TRIM('Thông tin HV'!C20))-LEN(C26))))</f>
        <v/>
      </c>
      <c r="C26" s="476">
        <f>PROPER(TRIM(RIGHT(SUBSTITUTE(TRIM('Thông tin HV'!C20)," ",REPT(" ",100)),100)))</f>
        <v/>
      </c>
      <c r="D26" s="526">
        <f>'Thông tin HV'!D20</f>
        <v/>
      </c>
      <c r="E26" s="478" t="inlineStr">
        <is>
          <t>Nam</t>
        </is>
      </c>
      <c r="F26" s="480">
        <f>'Thông tin HV'!G20</f>
        <v/>
      </c>
      <c r="G26" s="480">
        <f>'Thông tin HV'!I20</f>
        <v/>
      </c>
      <c r="H26" s="480">
        <f>'Thông tin HV'!J20</f>
        <v/>
      </c>
      <c r="I26" s="557">
        <f>'Thông tin HV'!K20&amp;"/12"</f>
        <v/>
      </c>
      <c r="J26" s="480">
        <f>'Thông tin HV'!M20</f>
        <v/>
      </c>
      <c r="K26" s="480">
        <f>'Thông tin HV'!O20</f>
        <v/>
      </c>
      <c r="L26" s="480">
        <f>'Thông tin HV'!P20</f>
        <v/>
      </c>
      <c r="M26" s="527" t="n"/>
    </row>
    <row r="27" ht="19.5" customFormat="1" customHeight="1" s="474">
      <c r="A27" s="525" t="n">
        <v>18</v>
      </c>
      <c r="B27" s="476">
        <f>PROPER(TRIM(LEFT(TRIM('Thông tin HV'!C21),LEN(TRIM('Thông tin HV'!C21))-LEN(C27))))</f>
        <v/>
      </c>
      <c r="C27" s="476">
        <f>PROPER(TRIM(RIGHT(SUBSTITUTE(TRIM('Thông tin HV'!C21)," ",REPT(" ",100)),100)))</f>
        <v/>
      </c>
      <c r="D27" s="526">
        <f>'Thông tin HV'!D21</f>
        <v/>
      </c>
      <c r="E27" s="478" t="inlineStr">
        <is>
          <t>Nam</t>
        </is>
      </c>
      <c r="F27" s="480">
        <f>'Thông tin HV'!G21</f>
        <v/>
      </c>
      <c r="G27" s="480">
        <f>'Thông tin HV'!I21</f>
        <v/>
      </c>
      <c r="H27" s="480">
        <f>'Thông tin HV'!J21</f>
        <v/>
      </c>
      <c r="I27" s="557">
        <f>'Thông tin HV'!K21&amp;"/12"</f>
        <v/>
      </c>
      <c r="J27" s="480">
        <f>'Thông tin HV'!M21</f>
        <v/>
      </c>
      <c r="K27" s="480">
        <f>'Thông tin HV'!O21</f>
        <v/>
      </c>
      <c r="L27" s="480">
        <f>'Thông tin HV'!P21</f>
        <v/>
      </c>
      <c r="M27" s="527" t="n"/>
    </row>
    <row r="28" ht="19.5" customFormat="1" customHeight="1" s="474">
      <c r="A28" s="525" t="n">
        <v>19</v>
      </c>
      <c r="B28" s="476">
        <f>PROPER(TRIM(LEFT(TRIM('Thông tin HV'!C22),LEN(TRIM('Thông tin HV'!C22))-LEN(C28))))</f>
        <v/>
      </c>
      <c r="C28" s="476">
        <f>PROPER(TRIM(RIGHT(SUBSTITUTE(TRIM('Thông tin HV'!C22)," ",REPT(" ",100)),100)))</f>
        <v/>
      </c>
      <c r="D28" s="526">
        <f>'Thông tin HV'!D22</f>
        <v/>
      </c>
      <c r="E28" s="478" t="inlineStr">
        <is>
          <t>Nam</t>
        </is>
      </c>
      <c r="F28" s="480">
        <f>'Thông tin HV'!G22</f>
        <v/>
      </c>
      <c r="G28" s="480">
        <f>'Thông tin HV'!I22</f>
        <v/>
      </c>
      <c r="H28" s="480">
        <f>'Thông tin HV'!J22</f>
        <v/>
      </c>
      <c r="I28" s="557">
        <f>'Thông tin HV'!K22&amp;"/12"</f>
        <v/>
      </c>
      <c r="J28" s="480">
        <f>'Thông tin HV'!M22</f>
        <v/>
      </c>
      <c r="K28" s="480">
        <f>'Thông tin HV'!O22</f>
        <v/>
      </c>
      <c r="L28" s="480">
        <f>'Thông tin HV'!P22</f>
        <v/>
      </c>
      <c r="M28" s="527" t="n"/>
    </row>
    <row r="29" ht="19.5" customFormat="1" customHeight="1" s="474">
      <c r="A29" s="525" t="n">
        <v>20</v>
      </c>
      <c r="B29" s="476">
        <f>PROPER(TRIM(LEFT(TRIM('Thông tin HV'!C23),LEN(TRIM('Thông tin HV'!C23))-LEN(C29))))</f>
        <v/>
      </c>
      <c r="C29" s="476">
        <f>PROPER(TRIM(RIGHT(SUBSTITUTE(TRIM('Thông tin HV'!C23)," ",REPT(" ",100)),100)))</f>
        <v/>
      </c>
      <c r="D29" s="526">
        <f>'Thông tin HV'!D23</f>
        <v/>
      </c>
      <c r="E29" s="478" t="inlineStr">
        <is>
          <t>Nam</t>
        </is>
      </c>
      <c r="F29" s="480">
        <f>'Thông tin HV'!G23</f>
        <v/>
      </c>
      <c r="G29" s="480">
        <f>'Thông tin HV'!I23</f>
        <v/>
      </c>
      <c r="H29" s="480">
        <f>'Thông tin HV'!J23</f>
        <v/>
      </c>
      <c r="I29" s="557">
        <f>'Thông tin HV'!K23&amp;"/12"</f>
        <v/>
      </c>
      <c r="J29" s="480">
        <f>'Thông tin HV'!M23</f>
        <v/>
      </c>
      <c r="K29" s="480">
        <f>'Thông tin HV'!O23</f>
        <v/>
      </c>
      <c r="L29" s="480">
        <f>'Thông tin HV'!P23</f>
        <v/>
      </c>
      <c r="M29" s="527" t="n"/>
    </row>
    <row r="30" ht="19.5" customFormat="1" customHeight="1" s="474">
      <c r="A30" s="525" t="n">
        <v>21</v>
      </c>
      <c r="B30" s="476">
        <f>PROPER(TRIM(LEFT(TRIM('Thông tin HV'!C24),LEN(TRIM('Thông tin HV'!C24))-LEN(C30))))</f>
        <v/>
      </c>
      <c r="C30" s="476">
        <f>PROPER(TRIM(RIGHT(SUBSTITUTE(TRIM('Thông tin HV'!C24)," ",REPT(" ",100)),100)))</f>
        <v/>
      </c>
      <c r="D30" s="526">
        <f>'Thông tin HV'!D24</f>
        <v/>
      </c>
      <c r="E30" s="478" t="inlineStr">
        <is>
          <t>Nam</t>
        </is>
      </c>
      <c r="F30" s="480">
        <f>'Thông tin HV'!G24</f>
        <v/>
      </c>
      <c r="G30" s="480">
        <f>'Thông tin HV'!I24</f>
        <v/>
      </c>
      <c r="H30" s="480">
        <f>'Thông tin HV'!J24</f>
        <v/>
      </c>
      <c r="I30" s="557">
        <f>'Thông tin HV'!K24&amp;"/12"</f>
        <v/>
      </c>
      <c r="J30" s="480">
        <f>'Thông tin HV'!M24</f>
        <v/>
      </c>
      <c r="K30" s="480">
        <f>'Thông tin HV'!O24</f>
        <v/>
      </c>
      <c r="L30" s="480">
        <f>'Thông tin HV'!P24</f>
        <v/>
      </c>
      <c r="M30" s="527" t="n"/>
    </row>
    <row r="31" ht="19.5" customFormat="1" customHeight="1" s="474">
      <c r="A31" s="525" t="n">
        <v>22</v>
      </c>
      <c r="B31" s="476">
        <f>PROPER(TRIM(LEFT(TRIM('Thông tin HV'!C25),LEN(TRIM('Thông tin HV'!C25))-LEN(C31))))</f>
        <v/>
      </c>
      <c r="C31" s="476">
        <f>PROPER(TRIM(RIGHT(SUBSTITUTE(TRIM('Thông tin HV'!C25)," ",REPT(" ",100)),100)))</f>
        <v/>
      </c>
      <c r="D31" s="526">
        <f>'Thông tin HV'!D25</f>
        <v/>
      </c>
      <c r="E31" s="478" t="inlineStr">
        <is>
          <t>Nam</t>
        </is>
      </c>
      <c r="F31" s="480">
        <f>'Thông tin HV'!G25</f>
        <v/>
      </c>
      <c r="G31" s="480">
        <f>'Thông tin HV'!I25</f>
        <v/>
      </c>
      <c r="H31" s="480">
        <f>'Thông tin HV'!J25</f>
        <v/>
      </c>
      <c r="I31" s="557">
        <f>'Thông tin HV'!K25&amp;"/12"</f>
        <v/>
      </c>
      <c r="J31" s="480">
        <f>'Thông tin HV'!M25</f>
        <v/>
      </c>
      <c r="K31" s="480">
        <f>'Thông tin HV'!O25</f>
        <v/>
      </c>
      <c r="L31" s="480">
        <f>'Thông tin HV'!P25</f>
        <v/>
      </c>
      <c r="M31" s="527" t="n"/>
    </row>
    <row r="32" ht="19.5" customFormat="1" customHeight="1" s="474">
      <c r="A32" s="525" t="n">
        <v>23</v>
      </c>
      <c r="B32" s="476">
        <f>PROPER(TRIM(LEFT(TRIM('Thông tin HV'!C26),LEN(TRIM('Thông tin HV'!C26))-LEN(C32))))</f>
        <v/>
      </c>
      <c r="C32" s="476">
        <f>PROPER(TRIM(RIGHT(SUBSTITUTE(TRIM('Thông tin HV'!C26)," ",REPT(" ",100)),100)))</f>
        <v/>
      </c>
      <c r="D32" s="526">
        <f>'Thông tin HV'!D26</f>
        <v/>
      </c>
      <c r="E32" s="478" t="inlineStr">
        <is>
          <t>Nam</t>
        </is>
      </c>
      <c r="F32" s="480">
        <f>'Thông tin HV'!G26</f>
        <v/>
      </c>
      <c r="G32" s="480">
        <f>'Thông tin HV'!I26</f>
        <v/>
      </c>
      <c r="H32" s="480">
        <f>'Thông tin HV'!J26</f>
        <v/>
      </c>
      <c r="I32" s="557">
        <f>'Thông tin HV'!K26&amp;"/12"</f>
        <v/>
      </c>
      <c r="J32" s="480">
        <f>'Thông tin HV'!M26</f>
        <v/>
      </c>
      <c r="K32" s="480">
        <f>'Thông tin HV'!O26</f>
        <v/>
      </c>
      <c r="L32" s="480">
        <f>'Thông tin HV'!P26</f>
        <v/>
      </c>
      <c r="M32" s="527" t="n"/>
    </row>
    <row r="33" ht="19.5" customFormat="1" customHeight="1" s="474">
      <c r="A33" s="525" t="n">
        <v>24</v>
      </c>
      <c r="B33" s="476">
        <f>PROPER(TRIM(LEFT(TRIM('Thông tin HV'!C27),LEN(TRIM('Thông tin HV'!C27))-LEN(C33))))</f>
        <v/>
      </c>
      <c r="C33" s="476">
        <f>PROPER(TRIM(RIGHT(SUBSTITUTE(TRIM('Thông tin HV'!C27)," ",REPT(" ",100)),100)))</f>
        <v/>
      </c>
      <c r="D33" s="526">
        <f>'Thông tin HV'!D27</f>
        <v/>
      </c>
      <c r="E33" s="478" t="inlineStr">
        <is>
          <t>Nam</t>
        </is>
      </c>
      <c r="F33" s="480">
        <f>'Thông tin HV'!G27</f>
        <v/>
      </c>
      <c r="G33" s="480">
        <f>'Thông tin HV'!I27</f>
        <v/>
      </c>
      <c r="H33" s="480">
        <f>'Thông tin HV'!J27</f>
        <v/>
      </c>
      <c r="I33" s="557">
        <f>'Thông tin HV'!K27&amp;"/12"</f>
        <v/>
      </c>
      <c r="J33" s="480">
        <f>'Thông tin HV'!M27</f>
        <v/>
      </c>
      <c r="K33" s="480">
        <f>'Thông tin HV'!O27</f>
        <v/>
      </c>
      <c r="L33" s="480">
        <f>'Thông tin HV'!P27</f>
        <v/>
      </c>
      <c r="M33" s="527" t="n"/>
    </row>
    <row r="34" ht="19.5" customFormat="1" customHeight="1" s="474">
      <c r="A34" s="525" t="n">
        <v>25</v>
      </c>
      <c r="B34" s="476">
        <f>PROPER(TRIM(LEFT(TRIM('Thông tin HV'!C28),LEN(TRIM('Thông tin HV'!C28))-LEN(C34))))</f>
        <v/>
      </c>
      <c r="C34" s="476">
        <f>PROPER(TRIM(RIGHT(SUBSTITUTE(TRIM('Thông tin HV'!C28)," ",REPT(" ",100)),100)))</f>
        <v/>
      </c>
      <c r="D34" s="526">
        <f>'Thông tin HV'!D28</f>
        <v/>
      </c>
      <c r="E34" s="478" t="inlineStr">
        <is>
          <t>Nam</t>
        </is>
      </c>
      <c r="F34" s="480">
        <f>'Thông tin HV'!G28</f>
        <v/>
      </c>
      <c r="G34" s="480">
        <f>'Thông tin HV'!I28</f>
        <v/>
      </c>
      <c r="H34" s="480">
        <f>'Thông tin HV'!J28</f>
        <v/>
      </c>
      <c r="I34" s="557">
        <f>'Thông tin HV'!K28&amp;"/12"</f>
        <v/>
      </c>
      <c r="J34" s="480">
        <f>'Thông tin HV'!M28</f>
        <v/>
      </c>
      <c r="K34" s="480">
        <f>'Thông tin HV'!O28</f>
        <v/>
      </c>
      <c r="L34" s="480">
        <f>'Thông tin HV'!P28</f>
        <v/>
      </c>
      <c r="M34" s="527" t="n"/>
    </row>
    <row r="35" ht="19.5" customFormat="1" customHeight="1" s="474">
      <c r="A35" s="525" t="n">
        <v>26</v>
      </c>
      <c r="B35" s="476">
        <f>PROPER(TRIM(LEFT(TRIM('Thông tin HV'!C29),LEN(TRIM('Thông tin HV'!C29))-LEN(C35))))</f>
        <v/>
      </c>
      <c r="C35" s="476">
        <f>PROPER(TRIM(RIGHT(SUBSTITUTE(TRIM('Thông tin HV'!C29)," ",REPT(" ",100)),100)))</f>
        <v/>
      </c>
      <c r="D35" s="526">
        <f>'Thông tin HV'!D29</f>
        <v/>
      </c>
      <c r="E35" s="478" t="inlineStr">
        <is>
          <t>Nam</t>
        </is>
      </c>
      <c r="F35" s="480">
        <f>'Thông tin HV'!G29</f>
        <v/>
      </c>
      <c r="G35" s="480">
        <f>'Thông tin HV'!I29</f>
        <v/>
      </c>
      <c r="H35" s="480">
        <f>'Thông tin HV'!J29</f>
        <v/>
      </c>
      <c r="I35" s="557">
        <f>'Thông tin HV'!K29&amp;"/12"</f>
        <v/>
      </c>
      <c r="J35" s="480">
        <f>'Thông tin HV'!M29</f>
        <v/>
      </c>
      <c r="K35" s="480">
        <f>'Thông tin HV'!O29</f>
        <v/>
      </c>
      <c r="L35" s="480">
        <f>'Thông tin HV'!P29</f>
        <v/>
      </c>
      <c r="M35" s="527" t="n"/>
    </row>
    <row r="36" ht="19.5" customFormat="1" customHeight="1" s="474">
      <c r="A36" s="525" t="n">
        <v>27</v>
      </c>
      <c r="B36" s="476">
        <f>PROPER(TRIM(LEFT(TRIM('Thông tin HV'!C30),LEN(TRIM('Thông tin HV'!C30))-LEN(C36))))</f>
        <v/>
      </c>
      <c r="C36" s="476">
        <f>PROPER(TRIM(RIGHT(SUBSTITUTE(TRIM('Thông tin HV'!C30)," ",REPT(" ",100)),100)))</f>
        <v/>
      </c>
      <c r="D36" s="526">
        <f>'Thông tin HV'!D30</f>
        <v/>
      </c>
      <c r="E36" s="478" t="inlineStr">
        <is>
          <t>Nam</t>
        </is>
      </c>
      <c r="F36" s="480">
        <f>'Thông tin HV'!G30</f>
        <v/>
      </c>
      <c r="G36" s="480">
        <f>'Thông tin HV'!I30</f>
        <v/>
      </c>
      <c r="H36" s="480">
        <f>'Thông tin HV'!J30</f>
        <v/>
      </c>
      <c r="I36" s="557">
        <f>'Thông tin HV'!K30&amp;"/12"</f>
        <v/>
      </c>
      <c r="J36" s="480">
        <f>'Thông tin HV'!M30</f>
        <v/>
      </c>
      <c r="K36" s="480">
        <f>'Thông tin HV'!O30</f>
        <v/>
      </c>
      <c r="L36" s="480">
        <f>'Thông tin HV'!P30</f>
        <v/>
      </c>
      <c r="M36" s="527" t="n"/>
    </row>
    <row r="37" ht="19.5" customFormat="1" customHeight="1" s="474">
      <c r="A37" s="525" t="n">
        <v>28</v>
      </c>
      <c r="B37" s="476">
        <f>PROPER(TRIM(LEFT(TRIM('Thông tin HV'!C31),LEN(TRIM('Thông tin HV'!C31))-LEN(C37))))</f>
        <v/>
      </c>
      <c r="C37" s="476">
        <f>PROPER(TRIM(RIGHT(SUBSTITUTE(TRIM('Thông tin HV'!C31)," ",REPT(" ",100)),100)))</f>
        <v/>
      </c>
      <c r="D37" s="526">
        <f>'Thông tin HV'!D31</f>
        <v/>
      </c>
      <c r="E37" s="478" t="inlineStr">
        <is>
          <t>Nam</t>
        </is>
      </c>
      <c r="F37" s="480">
        <f>'Thông tin HV'!G31</f>
        <v/>
      </c>
      <c r="G37" s="480">
        <f>'Thông tin HV'!I31</f>
        <v/>
      </c>
      <c r="H37" s="480">
        <f>'Thông tin HV'!J31</f>
        <v/>
      </c>
      <c r="I37" s="557">
        <f>'Thông tin HV'!K31&amp;"/12"</f>
        <v/>
      </c>
      <c r="J37" s="480">
        <f>'Thông tin HV'!M31</f>
        <v/>
      </c>
      <c r="K37" s="480">
        <f>'Thông tin HV'!O31</f>
        <v/>
      </c>
      <c r="L37" s="480">
        <f>'Thông tin HV'!P31</f>
        <v/>
      </c>
      <c r="M37" s="527" t="n"/>
    </row>
    <row r="38" ht="19.5" customFormat="1" customHeight="1" s="474">
      <c r="A38" s="525" t="n">
        <v>29</v>
      </c>
      <c r="B38" s="476">
        <f>PROPER(TRIM(LEFT(TRIM('Thông tin HV'!C32),LEN(TRIM('Thông tin HV'!C32))-LEN(C38))))</f>
        <v/>
      </c>
      <c r="C38" s="476">
        <f>PROPER(TRIM(RIGHT(SUBSTITUTE(TRIM('Thông tin HV'!C32)," ",REPT(" ",100)),100)))</f>
        <v/>
      </c>
      <c r="D38" s="526">
        <f>'Thông tin HV'!D32</f>
        <v/>
      </c>
      <c r="E38" s="478" t="inlineStr">
        <is>
          <t>Nữ</t>
        </is>
      </c>
      <c r="F38" s="480">
        <f>'Thông tin HV'!G32</f>
        <v/>
      </c>
      <c r="G38" s="480">
        <f>'Thông tin HV'!I32</f>
        <v/>
      </c>
      <c r="H38" s="480">
        <f>'Thông tin HV'!J32</f>
        <v/>
      </c>
      <c r="I38" s="557">
        <f>'Thông tin HV'!K32&amp;"/12"</f>
        <v/>
      </c>
      <c r="J38" s="480">
        <f>'Thông tin HV'!M32</f>
        <v/>
      </c>
      <c r="K38" s="480">
        <f>'Thông tin HV'!O32</f>
        <v/>
      </c>
      <c r="L38" s="480">
        <f>'Thông tin HV'!P32</f>
        <v/>
      </c>
      <c r="M38" s="527" t="n"/>
    </row>
    <row r="39" ht="19.5" customFormat="1" customHeight="1" s="474">
      <c r="A39" s="525" t="n">
        <v>30</v>
      </c>
      <c r="B39" s="476">
        <f>PROPER(TRIM(LEFT(TRIM('Thông tin HV'!C33),LEN(TRIM('Thông tin HV'!C33))-LEN(C39))))</f>
        <v/>
      </c>
      <c r="C39" s="476">
        <f>PROPER(TRIM(RIGHT(SUBSTITUTE(TRIM('Thông tin HV'!C33)," ",REPT(" ",100)),100)))</f>
        <v/>
      </c>
      <c r="D39" s="526">
        <f>'Thông tin HV'!D33</f>
        <v/>
      </c>
      <c r="E39" s="478" t="inlineStr">
        <is>
          <t>Nữ</t>
        </is>
      </c>
      <c r="F39" s="480">
        <f>'Thông tin HV'!G33</f>
        <v/>
      </c>
      <c r="G39" s="480">
        <f>'Thông tin HV'!I33</f>
        <v/>
      </c>
      <c r="H39" s="480">
        <f>'Thông tin HV'!J33</f>
        <v/>
      </c>
      <c r="I39" s="557">
        <f>'Thông tin HV'!K33&amp;"/12"</f>
        <v/>
      </c>
      <c r="J39" s="480">
        <f>'Thông tin HV'!M33</f>
        <v/>
      </c>
      <c r="K39" s="480">
        <f>'Thông tin HV'!O33</f>
        <v/>
      </c>
      <c r="L39" s="480">
        <f>'Thông tin HV'!P33</f>
        <v/>
      </c>
      <c r="M39" s="527" t="n"/>
    </row>
    <row r="40" ht="19.5" customFormat="1" customHeight="1" s="474">
      <c r="A40" s="525" t="n">
        <v>31</v>
      </c>
      <c r="B40" s="476">
        <f>PROPER(TRIM(LEFT(TRIM('Thông tin HV'!C34),LEN(TRIM('Thông tin HV'!C34))-LEN(C40))))</f>
        <v/>
      </c>
      <c r="C40" s="476">
        <f>PROPER(TRIM(RIGHT(SUBSTITUTE(TRIM('Thông tin HV'!C34)," ",REPT(" ",100)),100)))</f>
        <v/>
      </c>
      <c r="D40" s="526">
        <f>'Thông tin HV'!D34</f>
        <v/>
      </c>
      <c r="E40" s="478" t="inlineStr">
        <is>
          <t>Nữ</t>
        </is>
      </c>
      <c r="F40" s="480">
        <f>'Thông tin HV'!G34</f>
        <v/>
      </c>
      <c r="G40" s="480">
        <f>'Thông tin HV'!I34</f>
        <v/>
      </c>
      <c r="H40" s="480">
        <f>'Thông tin HV'!J34</f>
        <v/>
      </c>
      <c r="I40" s="557">
        <f>'Thông tin HV'!K34&amp;"/12"</f>
        <v/>
      </c>
      <c r="J40" s="480">
        <f>'Thông tin HV'!M34</f>
        <v/>
      </c>
      <c r="K40" s="480">
        <f>'Thông tin HV'!O34</f>
        <v/>
      </c>
      <c r="L40" s="480">
        <f>'Thông tin HV'!P34</f>
        <v/>
      </c>
      <c r="M40" s="527" t="n"/>
    </row>
    <row r="41" ht="19.5" customFormat="1" customHeight="1" s="474">
      <c r="A41" s="525" t="n">
        <v>32</v>
      </c>
      <c r="B41" s="476">
        <f>PROPER(TRIM(LEFT(TRIM('Thông tin HV'!C35),LEN(TRIM('Thông tin HV'!C35))-LEN(C41))))</f>
        <v/>
      </c>
      <c r="C41" s="476">
        <f>PROPER(TRIM(RIGHT(SUBSTITUTE(TRIM('Thông tin HV'!C35)," ",REPT(" ",100)),100)))</f>
        <v/>
      </c>
      <c r="D41" s="526">
        <f>'Thông tin HV'!D35</f>
        <v/>
      </c>
      <c r="E41" s="478" t="inlineStr">
        <is>
          <t>Nữ</t>
        </is>
      </c>
      <c r="F41" s="480">
        <f>'Thông tin HV'!G35</f>
        <v/>
      </c>
      <c r="G41" s="480">
        <f>'Thông tin HV'!I35</f>
        <v/>
      </c>
      <c r="H41" s="480">
        <f>'Thông tin HV'!J35</f>
        <v/>
      </c>
      <c r="I41" s="557">
        <f>'Thông tin HV'!K35&amp;"/12"</f>
        <v/>
      </c>
      <c r="J41" s="480">
        <f>'Thông tin HV'!M35</f>
        <v/>
      </c>
      <c r="K41" s="480">
        <f>'Thông tin HV'!O35</f>
        <v/>
      </c>
      <c r="L41" s="480">
        <f>'Thông tin HV'!P35</f>
        <v/>
      </c>
      <c r="M41" s="527" t="n"/>
    </row>
    <row r="42" ht="19.5" customFormat="1" customHeight="1" s="474">
      <c r="A42" s="525" t="n">
        <v>33</v>
      </c>
      <c r="B42" s="476">
        <f>PROPER(TRIM(LEFT(TRIM('Thông tin HV'!C36),LEN(TRIM('Thông tin HV'!C36))-LEN(C42))))</f>
        <v/>
      </c>
      <c r="C42" s="476">
        <f>PROPER(TRIM(RIGHT(SUBSTITUTE(TRIM('Thông tin HV'!C36)," ",REPT(" ",100)),100)))</f>
        <v/>
      </c>
      <c r="D42" s="526">
        <f>'Thông tin HV'!D36</f>
        <v/>
      </c>
      <c r="E42" s="478" t="inlineStr">
        <is>
          <t>Nữ</t>
        </is>
      </c>
      <c r="F42" s="480">
        <f>'Thông tin HV'!G36</f>
        <v/>
      </c>
      <c r="G42" s="480">
        <f>'Thông tin HV'!I36</f>
        <v/>
      </c>
      <c r="H42" s="480">
        <f>'Thông tin HV'!J36</f>
        <v/>
      </c>
      <c r="I42" s="557">
        <f>'Thông tin HV'!K36&amp;"/12"</f>
        <v/>
      </c>
      <c r="J42" s="480">
        <f>'Thông tin HV'!M36</f>
        <v/>
      </c>
      <c r="K42" s="480">
        <f>'Thông tin HV'!O36</f>
        <v/>
      </c>
      <c r="L42" s="480">
        <f>'Thông tin HV'!P36</f>
        <v/>
      </c>
      <c r="M42" s="527" t="n"/>
    </row>
    <row r="43" ht="19.5" customFormat="1" customHeight="1" s="474">
      <c r="A43" s="528" t="n"/>
      <c r="B43" s="476">
        <f>PROPER(TRIM(LEFT(TRIM('Thông tin HV'!C37),LEN(TRIM('Thông tin HV'!C37))-LEN(C43))))</f>
        <v/>
      </c>
      <c r="C43" s="476">
        <f>PROPER(TRIM(RIGHT(SUBSTITUTE(TRIM('Thông tin HV'!C37)," ",REPT(" ",100)),100)))</f>
        <v/>
      </c>
      <c r="D43" s="529" t="n"/>
      <c r="E43" s="529" t="n"/>
      <c r="F43" s="480">
        <f>'Thông tin HV'!G37</f>
        <v/>
      </c>
      <c r="G43" s="480">
        <f>'Thông tin HV'!I37</f>
        <v/>
      </c>
      <c r="H43" s="480">
        <f>'Thông tin HV'!J37</f>
        <v/>
      </c>
      <c r="I43" s="558" t="n"/>
      <c r="J43" s="480">
        <f>'Thông tin HV'!M37</f>
        <v/>
      </c>
      <c r="K43" s="529" t="n"/>
      <c r="L43" s="529" t="n"/>
      <c r="M43" s="530" t="n"/>
    </row>
    <row r="44" ht="19.5" customFormat="1" customHeight="1" s="474">
      <c r="A44" s="531" t="n"/>
      <c r="B44" s="476">
        <f>PROPER(TRIM(LEFT(TRIM('Thông tin HV'!C38),LEN(TRIM('Thông tin HV'!C38))-LEN(C44))))</f>
        <v/>
      </c>
      <c r="C44" s="476">
        <f>PROPER(TRIM(RIGHT(SUBSTITUTE(TRIM('Thông tin HV'!C38)," ",REPT(" ",100)),100)))</f>
        <v/>
      </c>
      <c r="D44" s="532" t="n"/>
      <c r="E44" s="532" t="n"/>
      <c r="F44" s="480">
        <f>'Thông tin HV'!G38</f>
        <v/>
      </c>
      <c r="G44" s="480">
        <f>'Thông tin HV'!I38</f>
        <v/>
      </c>
      <c r="H44" s="480">
        <f>'Thông tin HV'!J38</f>
        <v/>
      </c>
      <c r="I44" s="559" t="n"/>
      <c r="J44" s="480">
        <f>'Thông tin HV'!M38</f>
        <v/>
      </c>
      <c r="K44" s="532" t="n"/>
      <c r="L44" s="532" t="n"/>
      <c r="M44" s="533" t="n"/>
    </row>
    <row r="45" ht="17.25" customFormat="1" customHeight="1" s="499">
      <c r="A45" s="534" t="n"/>
      <c r="B45" s="476">
        <f>PROPER(TRIM(LEFT(TRIM('Thông tin HV'!C39),LEN(TRIM('Thông tin HV'!C39))-LEN(C45))))</f>
        <v/>
      </c>
      <c r="C45" s="476">
        <f>PROPER(TRIM(RIGHT(SUBSTITUTE(TRIM('Thông tin HV'!C39)," ",REPT(" ",100)),100)))</f>
        <v/>
      </c>
      <c r="D45" s="536" t="n"/>
      <c r="E45" s="536" t="n"/>
      <c r="F45" s="536" t="n"/>
      <c r="G45" s="536" t="n"/>
      <c r="H45" s="536" t="n"/>
      <c r="I45" s="560" t="n"/>
      <c r="J45" s="536" t="n"/>
      <c r="K45" s="536" t="n"/>
      <c r="L45" s="537" t="n"/>
      <c r="M45" s="538" t="n"/>
    </row>
    <row r="46" ht="25.5" customFormat="1" customHeight="1" s="539">
      <c r="A46" s="540" t="inlineStr">
        <is>
          <t xml:space="preserve">Tổng số: .....Học viên;  Trong đó:  + Nam: ....... học viên;  + Nữ:........ học viên;  + DTTS: .....học viên;  + Nữ DTTS: ...... học viên;  + Thanh niên: ..... học viên;  Thanh niên DTTS: ........học viên; </t>
        </is>
      </c>
      <c r="B46" s="541" t="n"/>
      <c r="C46" s="541" t="n"/>
      <c r="D46" s="541" t="n"/>
      <c r="E46" s="541" t="n"/>
      <c r="F46" s="541" t="n"/>
      <c r="G46" s="541" t="n"/>
      <c r="H46" s="541" t="n"/>
      <c r="I46" s="541" t="n"/>
      <c r="J46" s="541" t="n"/>
      <c r="K46" s="541" t="n"/>
      <c r="L46" s="542" t="n"/>
      <c r="M46" s="543" t="n"/>
    </row>
    <row r="47" ht="18" customFormat="1" customHeight="1" s="539">
      <c r="A47" s="544" t="inlineStr">
        <is>
          <t>- Nhóm đối tượng:</t>
        </is>
      </c>
      <c r="B47" s="545" t="n"/>
      <c r="C47" s="546" t="inlineStr">
        <is>
          <t>1. Lao động ở khu vực nông thôn:........ Học viên 
 Người trong độ tuổi lao động:........... Học viên
 Người thuộc hộ nghèo, hộ cận nghèo, hộ mới thoát nghèo:.......... Học viên
2. Lao động là thanh niên đã hoàn thành nghĩa vụ:......... Học viên
 Thanh niên hoàn thành nghĩa vụ (Quân sự, Công an, Tình nguyện…):......... Học viên
3. Lao động vùng đồng bào DTTS &amp; MN:............. Học viên   
 Người dân tộc thiểu số trong độ tuổi lao động:......... Học viên
 Người dân tộc thiểu số thuộc hộ nghèo, hộ cận nghèo, hộ mới thoát nghèo:....... Học viên 
 Người dân tộc kinh thuộc hộ nghèo, hộ cận nghèo, hộ mới thoát nghèo:........ Học viên 
4. Lao động khác:......... Học viên 
 Người thuộc diện được hưởng chính sách ưu đãi người có công với cách mạng:........Học viên
 Người thuộc hộ gia đình bị thu hồi đất nông nghiệp, đất kinh doanh, lao động nữ bị mất việc làm:........Học viên</t>
        </is>
      </c>
      <c r="M47" s="543" t="n"/>
    </row>
    <row r="48" ht="18" customFormat="1" customHeight="1" s="539">
      <c r="A48" s="544" t="n"/>
      <c r="B48" s="545" t="n"/>
      <c r="M48" s="547" t="n"/>
    </row>
    <row r="49" ht="18" customFormat="1" customHeight="1" s="539">
      <c r="A49" s="548" t="n"/>
      <c r="B49" s="542" t="n"/>
      <c r="M49" s="549" t="n"/>
    </row>
    <row r="50" ht="18" customFormat="1" customHeight="1" s="539">
      <c r="A50" s="548" t="n"/>
      <c r="B50" s="542" t="n"/>
      <c r="M50" s="549" t="n"/>
    </row>
    <row r="51" ht="20.25" customFormat="1" customHeight="1" s="550">
      <c r="A51" s="548" t="n"/>
      <c r="B51" s="542" t="n"/>
      <c r="M51" s="549" t="n"/>
      <c r="N51" s="550" t="n"/>
    </row>
    <row r="52" ht="13.5" customFormat="1" customHeight="1" s="550">
      <c r="A52" s="548" t="n"/>
      <c r="B52" s="542" t="n"/>
      <c r="M52" s="549" t="n"/>
      <c r="N52" s="551" t="n"/>
    </row>
    <row r="53" ht="13.5" customFormat="1" customHeight="1" s="550">
      <c r="A53" s="548" t="n"/>
      <c r="B53" s="542" t="n"/>
      <c r="M53" s="549" t="n"/>
      <c r="N53" s="550" t="n"/>
    </row>
    <row r="54" ht="13.15" customFormat="1" customHeight="1" s="550">
      <c r="A54" s="548" t="n"/>
      <c r="B54" s="542" t="n"/>
      <c r="M54" s="549" t="n"/>
      <c r="N54" s="550" t="n"/>
    </row>
    <row r="55" ht="13.15" customFormat="1" customHeight="1" s="550">
      <c r="A55" s="548" t="n"/>
      <c r="B55" s="542" t="n"/>
      <c r="M55" s="552" t="n"/>
      <c r="N55" s="550" t="n"/>
    </row>
    <row r="56" ht="16.5" customFormat="1" customHeight="1" s="550">
      <c r="A56" s="548" t="n"/>
      <c r="B56" s="542" t="n"/>
      <c r="M56" s="553" t="n"/>
      <c r="N56" s="550" t="n"/>
    </row>
    <row r="57" ht="15.4" customHeight="1" s="393">
      <c r="A57" s="548" t="n"/>
      <c r="B57" s="542" t="n"/>
    </row>
    <row r="58" ht="15.75" customHeight="1" s="393">
      <c r="A58" s="548" t="n"/>
      <c r="B58" s="542" t="n"/>
      <c r="C58" s="542" t="n"/>
      <c r="D58" s="542" t="n"/>
      <c r="E58" s="542" t="n"/>
      <c r="F58" s="542" t="n"/>
      <c r="G58" s="542" t="n"/>
      <c r="H58" s="542" t="n"/>
      <c r="I58" s="542" t="n"/>
      <c r="J58" s="554" t="inlineStr">
        <is>
          <t xml:space="preserve">              Đăk Hà, ngày ......tháng......năm 2026</t>
        </is>
      </c>
    </row>
    <row r="59" ht="16.5" customHeight="1" s="393">
      <c r="A59" s="555" t="inlineStr">
        <is>
          <t>TỔ …………………………</t>
        </is>
      </c>
      <c r="G59" s="556" t="n"/>
      <c r="H59" s="542" t="n"/>
      <c r="I59" s="542" t="n"/>
      <c r="J59" s="555" t="inlineStr">
        <is>
          <t xml:space="preserve">           Người lập</t>
        </is>
      </c>
    </row>
    <row r="60" ht="16.5" customHeight="1" s="393">
      <c r="A60" s="555" t="n"/>
      <c r="B60" s="555" t="n"/>
      <c r="C60" s="555" t="n"/>
      <c r="D60" s="555" t="n"/>
      <c r="E60" s="555" t="n"/>
      <c r="F60" s="555" t="n"/>
      <c r="G60" s="556" t="n"/>
      <c r="H60" s="542" t="n"/>
      <c r="I60" s="542" t="n"/>
      <c r="J60" s="555" t="n"/>
      <c r="K60" s="555" t="n"/>
      <c r="L60" s="555" t="n"/>
    </row>
    <row r="61" ht="16.5" customHeight="1" s="393">
      <c r="A61" s="555" t="n"/>
      <c r="B61" s="555" t="n"/>
      <c r="C61" s="555" t="n"/>
      <c r="D61" s="555" t="n"/>
      <c r="E61" s="555" t="n"/>
      <c r="F61" s="555" t="n"/>
      <c r="G61" s="556" t="n"/>
      <c r="H61" s="542" t="n"/>
      <c r="I61" s="542" t="n"/>
      <c r="J61" s="555" t="n"/>
      <c r="K61" s="555" t="n"/>
      <c r="L61" s="555" t="n"/>
    </row>
    <row r="62" ht="16.5" customHeight="1" s="393">
      <c r="A62" s="555" t="n"/>
      <c r="B62" s="555" t="n"/>
      <c r="C62" s="555" t="n"/>
      <c r="D62" s="555" t="n"/>
      <c r="E62" s="555" t="n"/>
      <c r="F62" s="555" t="n"/>
      <c r="G62" s="556" t="n"/>
      <c r="H62" s="542" t="n"/>
      <c r="I62" s="542" t="n"/>
      <c r="J62" s="555" t="n"/>
      <c r="K62" s="555" t="n"/>
      <c r="L62" s="555" t="n"/>
    </row>
    <row r="63" ht="16.5" customHeight="1" s="393">
      <c r="A63" s="555" t="n"/>
      <c r="B63" s="555" t="n"/>
      <c r="C63" s="555" t="n"/>
      <c r="D63" s="555" t="n"/>
      <c r="E63" s="555" t="n"/>
      <c r="F63" s="555" t="n"/>
      <c r="G63" s="556" t="n"/>
      <c r="H63" s="542" t="n"/>
      <c r="I63" s="542" t="n"/>
      <c r="J63" s="555" t="n"/>
      <c r="K63" s="555" t="n"/>
      <c r="L63" s="555" t="n"/>
    </row>
    <row r="64" ht="16.5" customHeight="1" s="393">
      <c r="A64" s="555" t="n"/>
      <c r="B64" s="555" t="n"/>
      <c r="C64" s="555" t="n"/>
      <c r="D64" s="555" t="n"/>
      <c r="E64" s="555" t="n"/>
      <c r="F64" s="555" t="n"/>
      <c r="G64" s="556" t="n"/>
      <c r="H64" s="542" t="n"/>
      <c r="I64" s="542" t="n"/>
      <c r="J64" s="555" t="n"/>
      <c r="K64" s="555" t="n"/>
      <c r="L64" s="555" t="n"/>
    </row>
    <row r="65"/>
    <row r="66" ht="17.25" customHeight="1" s="393">
      <c r="A66" s="514" t="inlineStr">
        <is>
          <t xml:space="preserve">TRUNG TÂM GDNN - GDTX </t>
        </is>
      </c>
    </row>
    <row r="67" ht="16.5" customHeight="1" s="393">
      <c r="A67" s="513" t="inlineStr">
        <is>
          <t>KHU VỰC ĐĂK HÀ</t>
        </is>
      </c>
    </row>
    <row r="68" ht="15.4" customHeight="1" s="393">
      <c r="D68" s="392" t="n"/>
    </row>
    <row r="69" ht="15.4" customHeight="1" s="393">
      <c r="D69" s="392" t="n"/>
    </row>
    <row r="70" ht="15.4" customHeight="1" s="393">
      <c r="D70" s="392" t="n"/>
    </row>
    <row r="71" ht="15.4" customHeight="1" s="393">
      <c r="D71" s="392" t="n"/>
    </row>
    <row r="72" ht="15.4" customHeight="1" s="393">
      <c r="D72" s="392" t="n"/>
    </row>
    <row r="73" ht="15.4" customHeight="1" s="393">
      <c r="D73" s="392" t="n"/>
    </row>
    <row r="74" ht="15.4" customHeight="1" s="393">
      <c r="D74" s="392" t="n"/>
    </row>
    <row r="75" ht="15.4" customHeight="1" s="393">
      <c r="D75" s="392" t="n"/>
    </row>
  </sheetData>
  <mergeCells count="15">
    <mergeCell ref="B2:G2"/>
    <mergeCell ref="A5:M5"/>
    <mergeCell ref="C47:L57"/>
    <mergeCell ref="A8:M8"/>
    <mergeCell ref="K2:L2"/>
    <mergeCell ref="A6:M6"/>
    <mergeCell ref="K1:L1"/>
    <mergeCell ref="J58:L58"/>
    <mergeCell ref="B1:G1"/>
    <mergeCell ref="J59:L59"/>
    <mergeCell ref="A66:L66"/>
    <mergeCell ref="A7:M7"/>
    <mergeCell ref="B9:C9"/>
    <mergeCell ref="A67:L67"/>
    <mergeCell ref="A59:F59"/>
  </mergeCells>
  <printOptions horizontalCentered="0" verticalCentered="0" headings="0" gridLines="0" gridLinesSet="1"/>
  <pageMargins left="0.354166666666667" right="0.236111111111111" top="0.472222222222222" bottom="0.551388888888889" header="0.511811023622047" footer="0.511811023622047"/>
  <pageSetup orientation="landscape" paperSize="9" scale="100" fitToHeight="2"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AU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I8" activeCellId="0" sqref="AI8"/>
    </sheetView>
  </sheetViews>
  <sheetFormatPr baseColWidth="8" defaultColWidth="8.99609375" defaultRowHeight="15.4" zeroHeight="0" outlineLevelRow="0"/>
  <cols>
    <col width="3.99" customWidth="1" style="456" min="1" max="1"/>
    <col width="8.369999999999999" customWidth="1" style="392" min="2" max="2"/>
    <col width="7.5" customWidth="1" style="392" min="3" max="3"/>
    <col width="5.55" customWidth="1" style="457" min="4" max="4"/>
    <col width="15.18" customWidth="1" style="392" min="5" max="5"/>
    <col width="3.12" customWidth="1" style="392" min="6" max="45"/>
    <col width="8.99" customWidth="1" style="392" min="46" max="46"/>
    <col width="8.99" customWidth="1" style="561" min="47" max="47"/>
    <col width="8.99" customWidth="1" style="392" min="48" max="257"/>
  </cols>
  <sheetData>
    <row r="1" ht="17.25" customHeight="1" s="393">
      <c r="A1" s="562" t="inlineStr">
        <is>
          <t>THEO DÕI NGÀY THỰC HỌC CỦA HỌC VIÊN</t>
        </is>
      </c>
      <c r="L1" s="563" t="n"/>
      <c r="M1" s="563">
        <f>"Lớp "&amp;UPPER('KHÓA HỌC'!D5)&amp;"; Khóa: "&amp;'KHÓA HỌC'!D3&amp;"; Năm "&amp;'KHÓA HỌC'!D4</f>
        <v/>
      </c>
      <c r="N1" s="563" t="n"/>
      <c r="O1" s="563" t="n"/>
      <c r="P1" s="563" t="n"/>
      <c r="Q1" s="563" t="n"/>
      <c r="S1" s="563" t="n"/>
      <c r="T1" s="563" t="n"/>
      <c r="U1" s="563" t="n"/>
      <c r="V1" s="563" t="n"/>
      <c r="W1" s="563" t="n"/>
      <c r="X1" s="563" t="n"/>
      <c r="Y1" s="563" t="n"/>
      <c r="AA1" s="563" t="n"/>
      <c r="AB1" s="563" t="n"/>
      <c r="AC1" s="563" t="n"/>
      <c r="AD1" s="563" t="n"/>
      <c r="AE1" s="563" t="n"/>
      <c r="AF1" s="563" t="n"/>
      <c r="AG1" s="563" t="n"/>
      <c r="AH1" s="563" t="n"/>
      <c r="AI1" s="563" t="n"/>
      <c r="AJ1" s="563" t="n"/>
      <c r="AK1" s="563" t="n"/>
      <c r="AL1" s="563" t="n"/>
      <c r="AM1" s="563" t="n"/>
      <c r="AN1" s="563" t="n"/>
      <c r="AO1" s="563" t="n"/>
      <c r="AP1" s="563" t="n"/>
      <c r="AQ1" s="563" t="n"/>
      <c r="AR1" s="563" t="n"/>
      <c r="AS1" s="564">
        <f>"Tháng …./"&amp;'KHÓA HỌC'!D4</f>
        <v/>
      </c>
    </row>
    <row r="2" ht="7.5" customHeight="1" s="393"/>
    <row r="3" ht="15.4" customHeight="1" s="393">
      <c r="A3" s="565" t="inlineStr">
        <is>
          <t>Số
TT</t>
        </is>
      </c>
      <c r="B3" s="566" t="inlineStr">
        <is>
          <t>Họ và tên</t>
        </is>
      </c>
      <c r="C3" s="567" t="n"/>
      <c r="D3" s="568" t="inlineStr">
        <is>
          <t>Sinh
năm</t>
        </is>
      </c>
      <c r="E3" s="565" t="inlineStr">
        <is>
          <t>Nơi
cư trú</t>
        </is>
      </c>
      <c r="F3" s="569" t="n"/>
      <c r="G3" s="407" t="n"/>
      <c r="H3" s="569" t="n"/>
      <c r="I3" s="407" t="n"/>
      <c r="J3" s="569" t="n"/>
      <c r="K3" s="407" t="n"/>
      <c r="L3" s="569" t="n"/>
      <c r="M3" s="407" t="n"/>
      <c r="N3" s="569" t="n"/>
      <c r="O3" s="407" t="n"/>
      <c r="P3" s="569" t="n"/>
      <c r="Q3" s="407" t="n"/>
      <c r="R3" s="569" t="n"/>
      <c r="S3" s="407" t="n"/>
      <c r="T3" s="569" t="n"/>
      <c r="U3" s="407" t="n"/>
      <c r="V3" s="569" t="n"/>
      <c r="W3" s="407" t="n"/>
      <c r="X3" s="569" t="n"/>
      <c r="Y3" s="407" t="n"/>
      <c r="Z3" s="569" t="n"/>
      <c r="AA3" s="407" t="n"/>
      <c r="AB3" s="569" t="n"/>
      <c r="AC3" s="407" t="n"/>
      <c r="AD3" s="569" t="n"/>
      <c r="AE3" s="407" t="n"/>
      <c r="AF3" s="569" t="n"/>
      <c r="AG3" s="407" t="n"/>
      <c r="AH3" s="569" t="n"/>
      <c r="AI3" s="407" t="n"/>
      <c r="AJ3" s="569" t="n"/>
      <c r="AK3" s="407" t="n"/>
      <c r="AL3" s="569" t="n"/>
      <c r="AM3" s="407" t="n"/>
      <c r="AN3" s="569" t="n"/>
      <c r="AO3" s="407" t="n"/>
      <c r="AP3" s="569" t="n"/>
      <c r="AQ3" s="407" t="n"/>
      <c r="AR3" s="569" t="n"/>
      <c r="AS3" s="407" t="n"/>
    </row>
    <row r="4" ht="15.4" customHeight="1" s="393">
      <c r="A4" s="422" t="n"/>
      <c r="B4" s="570" t="n"/>
      <c r="C4" s="571" t="n"/>
      <c r="D4" s="422" t="n"/>
      <c r="E4" s="422" t="n"/>
      <c r="F4" s="572" t="inlineStr">
        <is>
          <t>S</t>
        </is>
      </c>
      <c r="G4" s="573" t="inlineStr">
        <is>
          <t>C</t>
        </is>
      </c>
      <c r="H4" s="572" t="inlineStr">
        <is>
          <t>S</t>
        </is>
      </c>
      <c r="I4" s="573" t="inlineStr">
        <is>
          <t>C</t>
        </is>
      </c>
      <c r="J4" s="572" t="inlineStr">
        <is>
          <t>S</t>
        </is>
      </c>
      <c r="K4" s="573" t="inlineStr">
        <is>
          <t>C</t>
        </is>
      </c>
      <c r="L4" s="572" t="inlineStr">
        <is>
          <t>S</t>
        </is>
      </c>
      <c r="M4" s="573" t="inlineStr">
        <is>
          <t>C</t>
        </is>
      </c>
      <c r="N4" s="572" t="inlineStr">
        <is>
          <t>S</t>
        </is>
      </c>
      <c r="O4" s="573" t="inlineStr">
        <is>
          <t>C</t>
        </is>
      </c>
      <c r="P4" s="572" t="inlineStr">
        <is>
          <t>S</t>
        </is>
      </c>
      <c r="Q4" s="573" t="inlineStr">
        <is>
          <t>C</t>
        </is>
      </c>
      <c r="R4" s="572" t="inlineStr">
        <is>
          <t>S</t>
        </is>
      </c>
      <c r="S4" s="573" t="inlineStr">
        <is>
          <t>C</t>
        </is>
      </c>
      <c r="T4" s="572" t="inlineStr">
        <is>
          <t>S</t>
        </is>
      </c>
      <c r="U4" s="573" t="inlineStr">
        <is>
          <t>C</t>
        </is>
      </c>
      <c r="V4" s="572" t="inlineStr">
        <is>
          <t>S</t>
        </is>
      </c>
      <c r="W4" s="573" t="inlineStr">
        <is>
          <t>C</t>
        </is>
      </c>
      <c r="X4" s="572" t="inlineStr">
        <is>
          <t>S</t>
        </is>
      </c>
      <c r="Y4" s="573" t="inlineStr">
        <is>
          <t>C</t>
        </is>
      </c>
      <c r="Z4" s="572" t="inlineStr">
        <is>
          <t>S</t>
        </is>
      </c>
      <c r="AA4" s="573" t="inlineStr">
        <is>
          <t>C</t>
        </is>
      </c>
      <c r="AB4" s="572" t="inlineStr">
        <is>
          <t>S</t>
        </is>
      </c>
      <c r="AC4" s="573" t="inlineStr">
        <is>
          <t>C</t>
        </is>
      </c>
      <c r="AD4" s="572" t="inlineStr">
        <is>
          <t>S</t>
        </is>
      </c>
      <c r="AE4" s="573" t="inlineStr">
        <is>
          <t>C</t>
        </is>
      </c>
      <c r="AF4" s="572" t="inlineStr">
        <is>
          <t>S</t>
        </is>
      </c>
      <c r="AG4" s="573" t="inlineStr">
        <is>
          <t>C</t>
        </is>
      </c>
      <c r="AH4" s="572" t="inlineStr">
        <is>
          <t>S</t>
        </is>
      </c>
      <c r="AI4" s="573" t="inlineStr">
        <is>
          <t>C</t>
        </is>
      </c>
      <c r="AJ4" s="572" t="inlineStr">
        <is>
          <t>S</t>
        </is>
      </c>
      <c r="AK4" s="573" t="inlineStr">
        <is>
          <t>C</t>
        </is>
      </c>
      <c r="AL4" s="572" t="inlineStr">
        <is>
          <t>S</t>
        </is>
      </c>
      <c r="AM4" s="573" t="inlineStr">
        <is>
          <t>C</t>
        </is>
      </c>
      <c r="AN4" s="572" t="inlineStr">
        <is>
          <t>S</t>
        </is>
      </c>
      <c r="AO4" s="573" t="inlineStr">
        <is>
          <t>C</t>
        </is>
      </c>
      <c r="AP4" s="572" t="inlineStr">
        <is>
          <t>S</t>
        </is>
      </c>
      <c r="AQ4" s="573" t="inlineStr">
        <is>
          <t>C</t>
        </is>
      </c>
      <c r="AR4" s="572" t="inlineStr">
        <is>
          <t>S</t>
        </is>
      </c>
      <c r="AS4" s="573" t="inlineStr">
        <is>
          <t>C</t>
        </is>
      </c>
    </row>
    <row r="5" ht="17.65" customHeight="1" s="393">
      <c r="A5" s="574" t="n">
        <v>1</v>
      </c>
      <c r="B5" s="575">
        <f>'DSTN-TT'!B10</f>
        <v/>
      </c>
      <c r="C5" s="576">
        <f>'DSTN-TT'!C10</f>
        <v/>
      </c>
      <c r="D5" s="576">
        <f>YEAR('DSTN-TT'!D10)</f>
        <v/>
      </c>
      <c r="E5" s="577">
        <f>LEFT('Thông tin HV'!P4,LEN('Thông tin HV'!P4)+1-FIND("*",SUBSTITUTE('Thông tin HV'!P4,", ","*",LEN('Thông tin HV'!P4)-LEN(SUBSTITUTE('Thông tin HV'!P4,",","")))))</f>
        <v/>
      </c>
      <c r="F5" s="578" t="n"/>
      <c r="G5" s="579" t="n"/>
      <c r="H5" s="578" t="n"/>
      <c r="I5" s="579" t="n"/>
      <c r="J5" s="578" t="n"/>
      <c r="K5" s="579" t="n"/>
      <c r="L5" s="578" t="n"/>
      <c r="M5" s="579" t="n"/>
      <c r="N5" s="578" t="n"/>
      <c r="O5" s="579" t="n"/>
      <c r="P5" s="578" t="n"/>
      <c r="Q5" s="579" t="n"/>
      <c r="R5" s="578" t="n"/>
      <c r="S5" s="579" t="n"/>
      <c r="T5" s="578" t="n"/>
      <c r="U5" s="579" t="n"/>
      <c r="V5" s="578" t="n"/>
      <c r="W5" s="579" t="n"/>
      <c r="X5" s="578" t="n"/>
      <c r="Y5" s="579" t="n"/>
      <c r="Z5" s="578" t="n"/>
      <c r="AA5" s="579" t="n"/>
      <c r="AB5" s="578" t="n"/>
      <c r="AC5" s="579" t="n"/>
      <c r="AD5" s="580" t="n"/>
      <c r="AE5" s="580" t="n"/>
      <c r="AF5" s="580" t="n"/>
      <c r="AG5" s="580" t="n"/>
      <c r="AH5" s="580" t="n"/>
      <c r="AI5" s="580" t="n"/>
      <c r="AJ5" s="580" t="n"/>
      <c r="AK5" s="580" t="n"/>
      <c r="AL5" s="578" t="n"/>
      <c r="AM5" s="579" t="n"/>
      <c r="AN5" s="578" t="n"/>
      <c r="AO5" s="579" t="n"/>
      <c r="AP5" s="578" t="n"/>
      <c r="AQ5" s="579" t="n"/>
      <c r="AR5" s="578" t="n"/>
      <c r="AS5" s="579" t="n"/>
    </row>
    <row r="6" ht="17.65" customHeight="1" s="393">
      <c r="A6" s="581" t="n">
        <v>2</v>
      </c>
      <c r="B6" s="575">
        <f>'DSTN-TT'!B11</f>
        <v/>
      </c>
      <c r="C6" s="576">
        <f>'DSTN-TT'!C11</f>
        <v/>
      </c>
      <c r="D6" s="576">
        <f>YEAR('DSTN-TT'!D11)</f>
        <v/>
      </c>
      <c r="E6" s="577">
        <f>LEFT('Thông tin HV'!P5,LEN('Thông tin HV'!P5)+1-FIND("*",SUBSTITUTE('Thông tin HV'!P5,", ","*",LEN('Thông tin HV'!P5)-LEN(SUBSTITUTE('Thông tin HV'!P5,",","")))))</f>
        <v/>
      </c>
      <c r="F6" s="582" t="n"/>
      <c r="G6" s="583" t="n"/>
      <c r="H6" s="582" t="n"/>
      <c r="I6" s="583" t="n"/>
      <c r="J6" s="582" t="n"/>
      <c r="K6" s="583" t="n"/>
      <c r="L6" s="582" t="n"/>
      <c r="M6" s="583" t="n"/>
      <c r="N6" s="582" t="n"/>
      <c r="O6" s="583" t="n"/>
      <c r="P6" s="582" t="n"/>
      <c r="Q6" s="583" t="n"/>
      <c r="R6" s="582" t="n"/>
      <c r="S6" s="583" t="n"/>
      <c r="T6" s="582" t="n"/>
      <c r="U6" s="583" t="n"/>
      <c r="V6" s="582" t="n"/>
      <c r="W6" s="583" t="n"/>
      <c r="X6" s="582" t="n"/>
      <c r="Y6" s="583" t="n"/>
      <c r="Z6" s="582" t="n"/>
      <c r="AA6" s="583" t="n"/>
      <c r="AB6" s="582" t="n"/>
      <c r="AC6" s="583" t="n"/>
      <c r="AD6" s="584" t="n"/>
      <c r="AE6" s="584" t="n"/>
      <c r="AF6" s="584" t="n"/>
      <c r="AG6" s="584" t="n"/>
      <c r="AH6" s="584" t="n"/>
      <c r="AI6" s="584" t="n"/>
      <c r="AJ6" s="584" t="n"/>
      <c r="AK6" s="584" t="n"/>
      <c r="AL6" s="582" t="n"/>
      <c r="AM6" s="583" t="n"/>
      <c r="AN6" s="582" t="n"/>
      <c r="AO6" s="583" t="n"/>
      <c r="AP6" s="582" t="n"/>
      <c r="AQ6" s="583" t="n"/>
      <c r="AR6" s="582" t="n"/>
      <c r="AS6" s="583" t="n"/>
    </row>
    <row r="7" ht="17.65" customHeight="1" s="393">
      <c r="A7" s="581" t="n">
        <v>3</v>
      </c>
      <c r="B7" s="575">
        <f>'DSTN-TT'!B12</f>
        <v/>
      </c>
      <c r="C7" s="576">
        <f>'DSTN-TT'!C12</f>
        <v/>
      </c>
      <c r="D7" s="576">
        <f>YEAR('DSTN-TT'!D12)</f>
        <v/>
      </c>
      <c r="E7" s="577">
        <f>LEFT('Thông tin HV'!P6,LEN('Thông tin HV'!P6)+1-FIND("*",SUBSTITUTE('Thông tin HV'!P6,", ","*",LEN('Thông tin HV'!P6)-LEN(SUBSTITUTE('Thông tin HV'!P6,",","")))))</f>
        <v/>
      </c>
      <c r="F7" s="582" t="n"/>
      <c r="G7" s="583" t="n"/>
      <c r="H7" s="582" t="n"/>
      <c r="I7" s="583" t="n"/>
      <c r="J7" s="582" t="n"/>
      <c r="K7" s="583" t="n"/>
      <c r="L7" s="582" t="n"/>
      <c r="M7" s="583" t="n"/>
      <c r="N7" s="582" t="n"/>
      <c r="O7" s="583" t="n"/>
      <c r="P7" s="582" t="n"/>
      <c r="Q7" s="583" t="n"/>
      <c r="R7" s="582" t="n"/>
      <c r="S7" s="583" t="n"/>
      <c r="T7" s="582" t="n"/>
      <c r="U7" s="583" t="n"/>
      <c r="V7" s="582" t="n"/>
      <c r="W7" s="583" t="n"/>
      <c r="X7" s="582" t="n"/>
      <c r="Y7" s="583" t="n"/>
      <c r="Z7" s="582" t="n"/>
      <c r="AA7" s="583" t="n"/>
      <c r="AB7" s="582" t="n"/>
      <c r="AC7" s="583" t="n"/>
      <c r="AD7" s="584" t="n"/>
      <c r="AE7" s="584" t="n"/>
      <c r="AF7" s="584" t="n"/>
      <c r="AG7" s="584" t="n"/>
      <c r="AH7" s="584" t="n"/>
      <c r="AI7" s="584" t="n"/>
      <c r="AJ7" s="584" t="n"/>
      <c r="AK7" s="584" t="n"/>
      <c r="AL7" s="582" t="n"/>
      <c r="AM7" s="583" t="n"/>
      <c r="AN7" s="582" t="n"/>
      <c r="AO7" s="583" t="n"/>
      <c r="AP7" s="582" t="n"/>
      <c r="AQ7" s="583" t="n"/>
      <c r="AR7" s="582" t="n"/>
      <c r="AS7" s="583" t="n"/>
    </row>
    <row r="8" ht="17.65" customHeight="1" s="393">
      <c r="A8" s="581" t="n">
        <v>4</v>
      </c>
      <c r="B8" s="575">
        <f>'DSTN-TT'!B13</f>
        <v/>
      </c>
      <c r="C8" s="576">
        <f>'DSTN-TT'!C13</f>
        <v/>
      </c>
      <c r="D8" s="576">
        <f>YEAR('DSTN-TT'!D13)</f>
        <v/>
      </c>
      <c r="E8" s="577">
        <f>LEFT('Thông tin HV'!P7,LEN('Thông tin HV'!P7)+1-FIND("*",SUBSTITUTE('Thông tin HV'!P7,", ","*",LEN('Thông tin HV'!P7)-LEN(SUBSTITUTE('Thông tin HV'!P7,",","")))))</f>
        <v/>
      </c>
      <c r="F8" s="582" t="n"/>
      <c r="G8" s="583" t="n"/>
      <c r="H8" s="582" t="n"/>
      <c r="I8" s="583" t="n"/>
      <c r="J8" s="582" t="n"/>
      <c r="K8" s="583" t="n"/>
      <c r="L8" s="582" t="n"/>
      <c r="M8" s="583" t="n"/>
      <c r="N8" s="582" t="n"/>
      <c r="O8" s="583" t="n"/>
      <c r="P8" s="582" t="n"/>
      <c r="Q8" s="583" t="n"/>
      <c r="R8" s="582" t="n"/>
      <c r="S8" s="583" t="n"/>
      <c r="T8" s="582" t="n"/>
      <c r="U8" s="583" t="n"/>
      <c r="V8" s="582" t="n"/>
      <c r="W8" s="583" t="n"/>
      <c r="X8" s="582" t="n"/>
      <c r="Y8" s="583" t="n"/>
      <c r="Z8" s="582" t="n"/>
      <c r="AA8" s="583" t="n"/>
      <c r="AB8" s="582" t="n"/>
      <c r="AC8" s="583" t="n"/>
      <c r="AD8" s="584" t="n"/>
      <c r="AE8" s="584" t="n"/>
      <c r="AF8" s="584" t="n"/>
      <c r="AG8" s="584" t="n"/>
      <c r="AH8" s="584" t="n"/>
      <c r="AI8" s="584" t="n"/>
      <c r="AJ8" s="584" t="n"/>
      <c r="AK8" s="584" t="n"/>
      <c r="AL8" s="582" t="n"/>
      <c r="AM8" s="583" t="n"/>
      <c r="AN8" s="582" t="n"/>
      <c r="AO8" s="583" t="n"/>
      <c r="AP8" s="582" t="n"/>
      <c r="AQ8" s="583" t="n"/>
      <c r="AR8" s="582" t="n"/>
      <c r="AS8" s="583" t="n"/>
    </row>
    <row r="9" ht="17.65" customHeight="1" s="393">
      <c r="A9" s="581" t="n">
        <v>5</v>
      </c>
      <c r="B9" s="575">
        <f>'DSTN-TT'!B14</f>
        <v/>
      </c>
      <c r="C9" s="576">
        <f>'DSTN-TT'!C14</f>
        <v/>
      </c>
      <c r="D9" s="576">
        <f>YEAR('DSTN-TT'!D14)</f>
        <v/>
      </c>
      <c r="E9" s="577">
        <f>LEFT('Thông tin HV'!P8,LEN('Thông tin HV'!P8)+1-FIND("*",SUBSTITUTE('Thông tin HV'!P8,", ","*",LEN('Thông tin HV'!P8)-LEN(SUBSTITUTE('Thông tin HV'!P8,",","")))))</f>
        <v/>
      </c>
      <c r="F9" s="582" t="n"/>
      <c r="G9" s="583" t="n"/>
      <c r="H9" s="582" t="n"/>
      <c r="I9" s="583" t="n"/>
      <c r="J9" s="582" t="n"/>
      <c r="K9" s="583" t="n"/>
      <c r="L9" s="582" t="n"/>
      <c r="M9" s="583" t="n"/>
      <c r="N9" s="582" t="n"/>
      <c r="O9" s="583" t="n"/>
      <c r="P9" s="582" t="n"/>
      <c r="Q9" s="583" t="n"/>
      <c r="R9" s="582" t="n"/>
      <c r="S9" s="583" t="n"/>
      <c r="T9" s="582" t="n"/>
      <c r="U9" s="583" t="n"/>
      <c r="V9" s="582" t="n"/>
      <c r="W9" s="583" t="n"/>
      <c r="X9" s="582" t="n"/>
      <c r="Y9" s="583" t="n"/>
      <c r="Z9" s="582" t="n"/>
      <c r="AA9" s="583" t="n"/>
      <c r="AB9" s="582" t="n"/>
      <c r="AC9" s="583" t="n"/>
      <c r="AD9" s="584" t="n"/>
      <c r="AE9" s="584" t="n"/>
      <c r="AF9" s="584" t="n"/>
      <c r="AG9" s="584" t="n"/>
      <c r="AH9" s="584" t="n"/>
      <c r="AI9" s="584" t="n"/>
      <c r="AJ9" s="584" t="n"/>
      <c r="AK9" s="584" t="n"/>
      <c r="AL9" s="582" t="n"/>
      <c r="AM9" s="583" t="n"/>
      <c r="AN9" s="582" t="n"/>
      <c r="AO9" s="583" t="n"/>
      <c r="AP9" s="582" t="n"/>
      <c r="AQ9" s="583" t="n"/>
      <c r="AR9" s="582" t="n"/>
      <c r="AS9" s="583" t="n"/>
    </row>
    <row r="10" ht="17.65" customHeight="1" s="393">
      <c r="A10" s="581" t="n">
        <v>6</v>
      </c>
      <c r="B10" s="575">
        <f>'DSTN-TT'!B15</f>
        <v/>
      </c>
      <c r="C10" s="576">
        <f>'DSTN-TT'!C15</f>
        <v/>
      </c>
      <c r="D10" s="576">
        <f>YEAR('DSTN-TT'!D15)</f>
        <v/>
      </c>
      <c r="E10" s="577">
        <f>LEFT('Thông tin HV'!P9,LEN('Thông tin HV'!P9)+1-FIND("*",SUBSTITUTE('Thông tin HV'!P9,", ","*",LEN('Thông tin HV'!P9)-LEN(SUBSTITUTE('Thông tin HV'!P9,",","")))))</f>
        <v/>
      </c>
      <c r="F10" s="582" t="n"/>
      <c r="G10" s="583" t="n"/>
      <c r="H10" s="582" t="n"/>
      <c r="I10" s="583" t="n"/>
      <c r="J10" s="582" t="n"/>
      <c r="K10" s="583" t="n"/>
      <c r="L10" s="582" t="n"/>
      <c r="M10" s="583" t="n"/>
      <c r="N10" s="582" t="n"/>
      <c r="O10" s="583" t="n"/>
      <c r="P10" s="582" t="n"/>
      <c r="Q10" s="583" t="n"/>
      <c r="R10" s="582" t="n"/>
      <c r="S10" s="583" t="n"/>
      <c r="T10" s="582" t="n"/>
      <c r="U10" s="583" t="n"/>
      <c r="V10" s="582" t="n"/>
      <c r="W10" s="583" t="n"/>
      <c r="X10" s="582" t="n"/>
      <c r="Y10" s="583" t="n"/>
      <c r="Z10" s="582" t="n"/>
      <c r="AA10" s="583" t="n"/>
      <c r="AB10" s="582" t="n"/>
      <c r="AC10" s="583" t="n"/>
      <c r="AD10" s="584" t="n"/>
      <c r="AE10" s="584" t="n"/>
      <c r="AF10" s="584" t="n"/>
      <c r="AG10" s="584" t="n"/>
      <c r="AH10" s="584" t="n"/>
      <c r="AI10" s="584" t="n"/>
      <c r="AJ10" s="584" t="n"/>
      <c r="AK10" s="584" t="n"/>
      <c r="AL10" s="582" t="n"/>
      <c r="AM10" s="583" t="n"/>
      <c r="AN10" s="582" t="n"/>
      <c r="AO10" s="583" t="n"/>
      <c r="AP10" s="582" t="n"/>
      <c r="AQ10" s="583" t="n"/>
      <c r="AR10" s="582" t="n"/>
      <c r="AS10" s="583" t="n"/>
    </row>
    <row r="11" ht="17.65" customHeight="1" s="393">
      <c r="A11" s="581" t="n">
        <v>7</v>
      </c>
      <c r="B11" s="575">
        <f>'DSTN-TT'!B16</f>
        <v/>
      </c>
      <c r="C11" s="576">
        <f>'DSTN-TT'!C16</f>
        <v/>
      </c>
      <c r="D11" s="576">
        <f>YEAR('DSTN-TT'!D16)</f>
        <v/>
      </c>
      <c r="E11" s="577">
        <f>LEFT('Thông tin HV'!P10,LEN('Thông tin HV'!P10)+1-FIND("*",SUBSTITUTE('Thông tin HV'!P10,", ","*",LEN('Thông tin HV'!P10)-LEN(SUBSTITUTE('Thông tin HV'!P10,",","")))))</f>
        <v/>
      </c>
      <c r="F11" s="582" t="n"/>
      <c r="G11" s="583" t="n"/>
      <c r="H11" s="582" t="n"/>
      <c r="I11" s="583" t="n"/>
      <c r="J11" s="582" t="n"/>
      <c r="K11" s="583" t="n"/>
      <c r="L11" s="582" t="n"/>
      <c r="M11" s="583" t="n"/>
      <c r="N11" s="582" t="n"/>
      <c r="O11" s="583" t="n"/>
      <c r="P11" s="582" t="n"/>
      <c r="Q11" s="583" t="n"/>
      <c r="R11" s="582" t="n"/>
      <c r="S11" s="583" t="n"/>
      <c r="T11" s="582" t="n"/>
      <c r="U11" s="583" t="n"/>
      <c r="V11" s="582" t="n"/>
      <c r="W11" s="583" t="n"/>
      <c r="X11" s="582" t="n"/>
      <c r="Y11" s="583" t="n"/>
      <c r="Z11" s="582" t="n"/>
      <c r="AA11" s="583" t="n"/>
      <c r="AB11" s="582" t="n"/>
      <c r="AC11" s="583" t="n"/>
      <c r="AD11" s="584" t="n"/>
      <c r="AE11" s="584" t="n"/>
      <c r="AF11" s="584" t="n"/>
      <c r="AG11" s="584" t="n"/>
      <c r="AH11" s="584" t="n"/>
      <c r="AI11" s="584" t="n"/>
      <c r="AJ11" s="584" t="n"/>
      <c r="AK11" s="584" t="n"/>
      <c r="AL11" s="582" t="n"/>
      <c r="AM11" s="583" t="n"/>
      <c r="AN11" s="582" t="n"/>
      <c r="AO11" s="583" t="n"/>
      <c r="AP11" s="582" t="n"/>
      <c r="AQ11" s="583" t="n"/>
      <c r="AR11" s="582" t="n"/>
      <c r="AS11" s="583" t="n"/>
    </row>
    <row r="12" ht="17.65" customHeight="1" s="393">
      <c r="A12" s="581" t="n">
        <v>8</v>
      </c>
      <c r="B12" s="575">
        <f>'DSTN-TT'!B17</f>
        <v/>
      </c>
      <c r="C12" s="576">
        <f>'DSTN-TT'!C17</f>
        <v/>
      </c>
      <c r="D12" s="576">
        <f>YEAR('DSTN-TT'!D17)</f>
        <v/>
      </c>
      <c r="E12" s="577">
        <f>LEFT('Thông tin HV'!P11,LEN('Thông tin HV'!P11)+1-FIND("*",SUBSTITUTE('Thông tin HV'!P11,", ","*",LEN('Thông tin HV'!P11)-LEN(SUBSTITUTE('Thông tin HV'!P11,",","")))))</f>
        <v/>
      </c>
      <c r="F12" s="582" t="n"/>
      <c r="G12" s="583" t="n"/>
      <c r="H12" s="582" t="n"/>
      <c r="I12" s="583" t="n"/>
      <c r="J12" s="582" t="n"/>
      <c r="K12" s="583" t="n"/>
      <c r="L12" s="582" t="n"/>
      <c r="M12" s="583" t="n"/>
      <c r="N12" s="582" t="n"/>
      <c r="O12" s="583" t="n"/>
      <c r="P12" s="582" t="n"/>
      <c r="Q12" s="583" t="n"/>
      <c r="R12" s="582" t="n"/>
      <c r="S12" s="583" t="n"/>
      <c r="T12" s="582" t="n"/>
      <c r="U12" s="583" t="n"/>
      <c r="V12" s="582" t="n"/>
      <c r="W12" s="583" t="n"/>
      <c r="X12" s="582" t="n"/>
      <c r="Y12" s="583" t="n"/>
      <c r="Z12" s="582" t="n"/>
      <c r="AA12" s="583" t="n"/>
      <c r="AB12" s="582" t="n"/>
      <c r="AC12" s="583" t="n"/>
      <c r="AD12" s="584" t="n"/>
      <c r="AE12" s="584" t="n"/>
      <c r="AF12" s="584" t="n"/>
      <c r="AG12" s="584" t="n"/>
      <c r="AH12" s="584" t="n"/>
      <c r="AI12" s="584" t="n"/>
      <c r="AJ12" s="584" t="n"/>
      <c r="AK12" s="584" t="n"/>
      <c r="AL12" s="582" t="n"/>
      <c r="AM12" s="583" t="n"/>
      <c r="AN12" s="582" t="n"/>
      <c r="AO12" s="583" t="n"/>
      <c r="AP12" s="582" t="n"/>
      <c r="AQ12" s="583" t="n"/>
      <c r="AR12" s="582" t="n"/>
      <c r="AS12" s="583" t="n"/>
    </row>
    <row r="13" ht="17.65" customFormat="1" customHeight="1" s="521">
      <c r="A13" s="581" t="n">
        <v>9</v>
      </c>
      <c r="B13" s="575">
        <f>'DSTN-TT'!B18</f>
        <v/>
      </c>
      <c r="C13" s="576">
        <f>'DSTN-TT'!C18</f>
        <v/>
      </c>
      <c r="D13" s="576">
        <f>YEAR('DSTN-TT'!D18)</f>
        <v/>
      </c>
      <c r="E13" s="577">
        <f>LEFT('Thông tin HV'!P12,LEN('Thông tin HV'!P12)+1-FIND("*",SUBSTITUTE('Thông tin HV'!P12,", ","*",LEN('Thông tin HV'!P12)-LEN(SUBSTITUTE('Thông tin HV'!P12,",","")))))</f>
        <v/>
      </c>
      <c r="F13" s="582" t="n"/>
      <c r="G13" s="583" t="n"/>
      <c r="H13" s="582" t="n"/>
      <c r="I13" s="583" t="n"/>
      <c r="J13" s="582" t="n"/>
      <c r="K13" s="583" t="n"/>
      <c r="L13" s="582" t="n"/>
      <c r="M13" s="583" t="n"/>
      <c r="N13" s="582" t="n"/>
      <c r="O13" s="583" t="n"/>
      <c r="P13" s="582" t="n"/>
      <c r="Q13" s="583" t="n"/>
      <c r="R13" s="582" t="n"/>
      <c r="S13" s="583" t="n"/>
      <c r="T13" s="582" t="n"/>
      <c r="U13" s="583" t="n"/>
      <c r="V13" s="582" t="n"/>
      <c r="W13" s="583" t="n"/>
      <c r="X13" s="582" t="n"/>
      <c r="Y13" s="583" t="n"/>
      <c r="Z13" s="582" t="n"/>
      <c r="AA13" s="583" t="n"/>
      <c r="AB13" s="582" t="n"/>
      <c r="AC13" s="583" t="n"/>
      <c r="AD13" s="584" t="n"/>
      <c r="AE13" s="584" t="n"/>
      <c r="AF13" s="584" t="n"/>
      <c r="AG13" s="584" t="n"/>
      <c r="AH13" s="584" t="n"/>
      <c r="AI13" s="584" t="n"/>
      <c r="AJ13" s="584" t="n"/>
      <c r="AK13" s="584" t="n"/>
      <c r="AL13" s="582" t="n"/>
      <c r="AM13" s="583" t="n"/>
      <c r="AN13" s="582" t="n"/>
      <c r="AO13" s="583" t="n"/>
      <c r="AP13" s="582" t="n"/>
      <c r="AQ13" s="583" t="n"/>
      <c r="AR13" s="582" t="n"/>
      <c r="AS13" s="583" t="n"/>
    </row>
    <row r="14" ht="17.65" customFormat="1" customHeight="1" s="499">
      <c r="A14" s="581" t="n">
        <v>10</v>
      </c>
      <c r="B14" s="575">
        <f>'DSTN-TT'!B19</f>
        <v/>
      </c>
      <c r="C14" s="576">
        <f>'DSTN-TT'!C19</f>
        <v/>
      </c>
      <c r="D14" s="576">
        <f>YEAR('DSTN-TT'!D19)</f>
        <v/>
      </c>
      <c r="E14" s="577">
        <f>LEFT('Thông tin HV'!P13,LEN('Thông tin HV'!P13)+1-FIND("*",SUBSTITUTE('Thông tin HV'!P13,", ","*",LEN('Thông tin HV'!P13)-LEN(SUBSTITUTE('Thông tin HV'!P13,",","")))))</f>
        <v/>
      </c>
      <c r="F14" s="585" t="n"/>
      <c r="G14" s="586" t="n"/>
      <c r="H14" s="585" t="n"/>
      <c r="I14" s="586" t="n"/>
      <c r="J14" s="585" t="n"/>
      <c r="K14" s="586" t="n"/>
      <c r="L14" s="585" t="n"/>
      <c r="M14" s="586" t="n"/>
      <c r="N14" s="585" t="n"/>
      <c r="O14" s="586" t="n"/>
      <c r="P14" s="585" t="n"/>
      <c r="Q14" s="586" t="n"/>
      <c r="R14" s="585" t="n"/>
      <c r="S14" s="586" t="n"/>
      <c r="T14" s="585" t="n"/>
      <c r="U14" s="586" t="n"/>
      <c r="V14" s="585" t="n"/>
      <c r="W14" s="586" t="n"/>
      <c r="X14" s="585" t="n"/>
      <c r="Y14" s="586" t="n"/>
      <c r="Z14" s="585" t="n"/>
      <c r="AA14" s="586" t="n"/>
      <c r="AB14" s="585" t="n"/>
      <c r="AC14" s="586" t="n"/>
      <c r="AD14" s="587" t="n"/>
      <c r="AE14" s="587" t="n"/>
      <c r="AF14" s="587" t="n"/>
      <c r="AG14" s="587" t="n"/>
      <c r="AH14" s="587" t="n"/>
      <c r="AI14" s="587" t="n"/>
      <c r="AJ14" s="587" t="n"/>
      <c r="AK14" s="587" t="n"/>
      <c r="AL14" s="585" t="n"/>
      <c r="AM14" s="586" t="n"/>
      <c r="AN14" s="585" t="n"/>
      <c r="AO14" s="586" t="n"/>
      <c r="AP14" s="585" t="n"/>
      <c r="AQ14" s="586" t="n"/>
      <c r="AR14" s="585" t="n"/>
      <c r="AS14" s="586" t="n"/>
    </row>
    <row r="15" ht="17.65" customFormat="1" customHeight="1" s="499">
      <c r="A15" s="581" t="n">
        <v>11</v>
      </c>
      <c r="B15" s="575">
        <f>'DSTN-TT'!B20</f>
        <v/>
      </c>
      <c r="C15" s="576">
        <f>'DSTN-TT'!C20</f>
        <v/>
      </c>
      <c r="D15" s="576">
        <f>YEAR('DSTN-TT'!D20)</f>
        <v/>
      </c>
      <c r="E15" s="577">
        <f>LEFT('Thông tin HV'!P14,LEN('Thông tin HV'!P14)+1-FIND("*",SUBSTITUTE('Thông tin HV'!P14,", ","*",LEN('Thông tin HV'!P14)-LEN(SUBSTITUTE('Thông tin HV'!P14,",","")))))</f>
        <v/>
      </c>
      <c r="F15" s="585" t="n"/>
      <c r="G15" s="586" t="n"/>
      <c r="H15" s="585" t="n"/>
      <c r="I15" s="586" t="n"/>
      <c r="J15" s="585" t="n"/>
      <c r="K15" s="586" t="n"/>
      <c r="L15" s="585" t="n"/>
      <c r="M15" s="586" t="n"/>
      <c r="N15" s="585" t="n"/>
      <c r="O15" s="586" t="n"/>
      <c r="P15" s="585" t="n"/>
      <c r="Q15" s="586" t="n"/>
      <c r="R15" s="585" t="n"/>
      <c r="S15" s="586" t="n"/>
      <c r="T15" s="585" t="n"/>
      <c r="U15" s="586" t="n"/>
      <c r="V15" s="585" t="n"/>
      <c r="W15" s="586" t="n"/>
      <c r="X15" s="585" t="n"/>
      <c r="Y15" s="586" t="n"/>
      <c r="Z15" s="585" t="n"/>
      <c r="AA15" s="586" t="n"/>
      <c r="AB15" s="585" t="n"/>
      <c r="AC15" s="586" t="n"/>
      <c r="AD15" s="587" t="n"/>
      <c r="AE15" s="587" t="n"/>
      <c r="AF15" s="587" t="n"/>
      <c r="AG15" s="587" t="n"/>
      <c r="AH15" s="587" t="n"/>
      <c r="AI15" s="587" t="n"/>
      <c r="AJ15" s="587" t="n"/>
      <c r="AK15" s="587" t="n"/>
      <c r="AL15" s="585" t="n"/>
      <c r="AM15" s="586" t="n"/>
      <c r="AN15" s="585" t="n"/>
      <c r="AO15" s="586" t="n"/>
      <c r="AP15" s="585" t="n"/>
      <c r="AQ15" s="586" t="n"/>
      <c r="AR15" s="585" t="n"/>
      <c r="AS15" s="586" t="n"/>
    </row>
    <row r="16" ht="17.65" customFormat="1" customHeight="1" s="499">
      <c r="A16" s="581" t="n">
        <v>12</v>
      </c>
      <c r="B16" s="575">
        <f>'DSTN-TT'!B21</f>
        <v/>
      </c>
      <c r="C16" s="576">
        <f>'DSTN-TT'!C21</f>
        <v/>
      </c>
      <c r="D16" s="576">
        <f>YEAR('DSTN-TT'!D21)</f>
        <v/>
      </c>
      <c r="E16" s="577">
        <f>LEFT('Thông tin HV'!P15,LEN('Thông tin HV'!P15)+1-FIND("*",SUBSTITUTE('Thông tin HV'!P15,", ","*",LEN('Thông tin HV'!P15)-LEN(SUBSTITUTE('Thông tin HV'!P15,",","")))))</f>
        <v/>
      </c>
      <c r="F16" s="585" t="n"/>
      <c r="G16" s="586" t="n"/>
      <c r="H16" s="585" t="n"/>
      <c r="I16" s="586" t="n"/>
      <c r="J16" s="585" t="n"/>
      <c r="K16" s="586" t="n"/>
      <c r="L16" s="585" t="n"/>
      <c r="M16" s="586" t="n"/>
      <c r="N16" s="585" t="n"/>
      <c r="O16" s="586" t="n"/>
      <c r="P16" s="585" t="n"/>
      <c r="Q16" s="586" t="n"/>
      <c r="R16" s="585" t="n"/>
      <c r="S16" s="586" t="n"/>
      <c r="T16" s="585" t="n"/>
      <c r="U16" s="586" t="n"/>
      <c r="V16" s="585" t="n"/>
      <c r="W16" s="586" t="n"/>
      <c r="X16" s="585" t="n"/>
      <c r="Y16" s="586" t="n"/>
      <c r="Z16" s="585" t="n"/>
      <c r="AA16" s="586" t="n"/>
      <c r="AB16" s="585" t="n"/>
      <c r="AC16" s="586" t="n"/>
      <c r="AD16" s="587" t="n"/>
      <c r="AE16" s="587" t="n"/>
      <c r="AF16" s="587" t="n"/>
      <c r="AG16" s="587" t="n"/>
      <c r="AH16" s="587" t="n"/>
      <c r="AI16" s="587" t="n"/>
      <c r="AJ16" s="587" t="n"/>
      <c r="AK16" s="587" t="n"/>
      <c r="AL16" s="585" t="n"/>
      <c r="AM16" s="586" t="n"/>
      <c r="AN16" s="585" t="n"/>
      <c r="AO16" s="586" t="n"/>
      <c r="AP16" s="585" t="n"/>
      <c r="AQ16" s="586" t="n"/>
      <c r="AR16" s="585" t="n"/>
      <c r="AS16" s="586" t="n"/>
    </row>
    <row r="17" ht="17.65" customFormat="1" customHeight="1" s="588">
      <c r="A17" s="581" t="n">
        <v>13</v>
      </c>
      <c r="B17" s="575">
        <f>'DSTN-TT'!B22</f>
        <v/>
      </c>
      <c r="C17" s="576">
        <f>'DSTN-TT'!C22</f>
        <v/>
      </c>
      <c r="D17" s="576">
        <f>YEAR('DSTN-TT'!D22)</f>
        <v/>
      </c>
      <c r="E17" s="577">
        <f>LEFT('Thông tin HV'!P16,LEN('Thông tin HV'!P16)+1-FIND("*",SUBSTITUTE('Thông tin HV'!P16,", ","*",LEN('Thông tin HV'!P16)-LEN(SUBSTITUTE('Thông tin HV'!P16,",","")))))</f>
        <v/>
      </c>
      <c r="F17" s="585" t="n"/>
      <c r="G17" s="586" t="n"/>
      <c r="H17" s="585" t="n"/>
      <c r="I17" s="586" t="n"/>
      <c r="J17" s="585" t="n"/>
      <c r="K17" s="586" t="n"/>
      <c r="L17" s="585" t="n"/>
      <c r="M17" s="586" t="n"/>
      <c r="N17" s="585" t="n"/>
      <c r="O17" s="586" t="n"/>
      <c r="P17" s="585" t="n"/>
      <c r="Q17" s="586" t="n"/>
      <c r="R17" s="585" t="n"/>
      <c r="S17" s="586" t="n"/>
      <c r="T17" s="585" t="n"/>
      <c r="U17" s="586" t="n"/>
      <c r="V17" s="585" t="n"/>
      <c r="W17" s="586" t="n"/>
      <c r="X17" s="585" t="n"/>
      <c r="Y17" s="586" t="n"/>
      <c r="Z17" s="585" t="n"/>
      <c r="AA17" s="586" t="n"/>
      <c r="AB17" s="585" t="n"/>
      <c r="AC17" s="586" t="n"/>
      <c r="AD17" s="587" t="n"/>
      <c r="AE17" s="587" t="n"/>
      <c r="AF17" s="587" t="n"/>
      <c r="AG17" s="587" t="n"/>
      <c r="AH17" s="587" t="n"/>
      <c r="AI17" s="587" t="n"/>
      <c r="AJ17" s="587" t="n"/>
      <c r="AK17" s="587" t="n"/>
      <c r="AL17" s="585" t="n"/>
      <c r="AM17" s="586" t="n"/>
      <c r="AN17" s="585" t="n"/>
      <c r="AO17" s="586" t="n"/>
      <c r="AP17" s="585" t="n"/>
      <c r="AQ17" s="586" t="n"/>
      <c r="AR17" s="585" t="n"/>
      <c r="AS17" s="586" t="n"/>
    </row>
    <row r="18" ht="17.65" customFormat="1" customHeight="1" s="499">
      <c r="A18" s="581" t="n">
        <v>14</v>
      </c>
      <c r="B18" s="575">
        <f>'DSTN-TT'!B23</f>
        <v/>
      </c>
      <c r="C18" s="576">
        <f>'DSTN-TT'!C23</f>
        <v/>
      </c>
      <c r="D18" s="576">
        <f>YEAR('DSTN-TT'!D23)</f>
        <v/>
      </c>
      <c r="E18" s="577">
        <f>LEFT('Thông tin HV'!P17,LEN('Thông tin HV'!P17)+1-FIND("*",SUBSTITUTE('Thông tin HV'!P17,", ","*",LEN('Thông tin HV'!P17)-LEN(SUBSTITUTE('Thông tin HV'!P17,",","")))))</f>
        <v/>
      </c>
      <c r="F18" s="585" t="n"/>
      <c r="G18" s="586" t="n"/>
      <c r="H18" s="585" t="n"/>
      <c r="I18" s="586" t="n"/>
      <c r="J18" s="585" t="n"/>
      <c r="K18" s="586" t="n"/>
      <c r="L18" s="585" t="n"/>
      <c r="M18" s="586" t="n"/>
      <c r="N18" s="585" t="n"/>
      <c r="O18" s="586" t="n"/>
      <c r="P18" s="585" t="n"/>
      <c r="Q18" s="586" t="n"/>
      <c r="R18" s="585" t="n"/>
      <c r="S18" s="586" t="n"/>
      <c r="T18" s="585" t="n"/>
      <c r="U18" s="586" t="n"/>
      <c r="V18" s="585" t="n"/>
      <c r="W18" s="586" t="n"/>
      <c r="X18" s="585" t="n"/>
      <c r="Y18" s="586" t="n"/>
      <c r="Z18" s="585" t="n"/>
      <c r="AA18" s="586" t="n"/>
      <c r="AB18" s="585" t="n"/>
      <c r="AC18" s="586" t="n"/>
      <c r="AD18" s="587" t="n"/>
      <c r="AE18" s="587" t="n"/>
      <c r="AF18" s="587" t="n"/>
      <c r="AG18" s="587" t="n"/>
      <c r="AH18" s="587" t="n"/>
      <c r="AI18" s="587" t="n"/>
      <c r="AJ18" s="587" t="n"/>
      <c r="AK18" s="587" t="n"/>
      <c r="AL18" s="585" t="n"/>
      <c r="AM18" s="586" t="n"/>
      <c r="AN18" s="585" t="n"/>
      <c r="AO18" s="586" t="n"/>
      <c r="AP18" s="585" t="n"/>
      <c r="AQ18" s="586" t="n"/>
      <c r="AR18" s="585" t="n"/>
      <c r="AS18" s="586" t="n"/>
    </row>
    <row r="19" ht="17.65" customFormat="1" customHeight="1" s="499">
      <c r="A19" s="581" t="n">
        <v>15</v>
      </c>
      <c r="B19" s="575">
        <f>'DSTN-TT'!B24</f>
        <v/>
      </c>
      <c r="C19" s="576">
        <f>'DSTN-TT'!C24</f>
        <v/>
      </c>
      <c r="D19" s="576">
        <f>YEAR('DSTN-TT'!D24)</f>
        <v/>
      </c>
      <c r="E19" s="577">
        <f>LEFT('Thông tin HV'!P18,LEN('Thông tin HV'!P18)+1-FIND("*",SUBSTITUTE('Thông tin HV'!P18,", ","*",LEN('Thông tin HV'!P18)-LEN(SUBSTITUTE('Thông tin HV'!P18,",","")))))</f>
        <v/>
      </c>
      <c r="F19" s="585" t="n"/>
      <c r="G19" s="586" t="n"/>
      <c r="H19" s="585" t="n"/>
      <c r="I19" s="586" t="n"/>
      <c r="J19" s="585" t="n"/>
      <c r="K19" s="586" t="n"/>
      <c r="L19" s="585" t="n"/>
      <c r="M19" s="586" t="n"/>
      <c r="N19" s="585" t="n"/>
      <c r="O19" s="586" t="n"/>
      <c r="P19" s="585" t="n"/>
      <c r="Q19" s="586" t="n"/>
      <c r="R19" s="585" t="n"/>
      <c r="S19" s="586" t="n"/>
      <c r="T19" s="585" t="n"/>
      <c r="U19" s="586" t="n"/>
      <c r="V19" s="585" t="n"/>
      <c r="W19" s="586" t="n"/>
      <c r="X19" s="585" t="n"/>
      <c r="Y19" s="586" t="n"/>
      <c r="Z19" s="585" t="n"/>
      <c r="AA19" s="586" t="n"/>
      <c r="AB19" s="585" t="n"/>
      <c r="AC19" s="586" t="n"/>
      <c r="AD19" s="587" t="n"/>
      <c r="AE19" s="587" t="n"/>
      <c r="AF19" s="587" t="n"/>
      <c r="AG19" s="587" t="n"/>
      <c r="AH19" s="587" t="n"/>
      <c r="AI19" s="587" t="n"/>
      <c r="AJ19" s="587" t="n"/>
      <c r="AK19" s="587" t="n"/>
      <c r="AL19" s="585" t="n"/>
      <c r="AM19" s="586" t="n"/>
      <c r="AN19" s="585" t="n"/>
      <c r="AO19" s="586" t="n"/>
      <c r="AP19" s="585" t="n"/>
      <c r="AQ19" s="586" t="n"/>
      <c r="AR19" s="585" t="n"/>
      <c r="AS19" s="586" t="n"/>
    </row>
    <row r="20" ht="17.65" customFormat="1" customHeight="1" s="588">
      <c r="A20" s="581" t="n">
        <v>16</v>
      </c>
      <c r="B20" s="575">
        <f>'DSTN-TT'!B25</f>
        <v/>
      </c>
      <c r="C20" s="576">
        <f>'DSTN-TT'!C25</f>
        <v/>
      </c>
      <c r="D20" s="576">
        <f>YEAR('DSTN-TT'!D25)</f>
        <v/>
      </c>
      <c r="E20" s="577">
        <f>LEFT('Thông tin HV'!P19,LEN('Thông tin HV'!P19)+1-FIND("*",SUBSTITUTE('Thông tin HV'!P19,", ","*",LEN('Thông tin HV'!P19)-LEN(SUBSTITUTE('Thông tin HV'!P19,",","")))))</f>
        <v/>
      </c>
      <c r="F20" s="585" t="n"/>
      <c r="G20" s="586" t="n"/>
      <c r="H20" s="585" t="n"/>
      <c r="I20" s="586" t="n"/>
      <c r="J20" s="585" t="n"/>
      <c r="K20" s="586" t="n"/>
      <c r="L20" s="585" t="n"/>
      <c r="M20" s="586" t="n"/>
      <c r="N20" s="585" t="n"/>
      <c r="O20" s="586" t="n"/>
      <c r="P20" s="585" t="n"/>
      <c r="Q20" s="586" t="n"/>
      <c r="R20" s="585" t="n"/>
      <c r="S20" s="586" t="n"/>
      <c r="T20" s="585" t="n"/>
      <c r="U20" s="586" t="n"/>
      <c r="V20" s="585" t="n"/>
      <c r="W20" s="586" t="n"/>
      <c r="X20" s="585" t="n"/>
      <c r="Y20" s="586" t="n"/>
      <c r="Z20" s="585" t="n"/>
      <c r="AA20" s="586" t="n"/>
      <c r="AB20" s="585" t="n"/>
      <c r="AC20" s="586" t="n"/>
      <c r="AD20" s="587" t="n"/>
      <c r="AE20" s="587" t="n"/>
      <c r="AF20" s="587" t="n"/>
      <c r="AG20" s="587" t="n"/>
      <c r="AH20" s="587" t="n"/>
      <c r="AI20" s="587" t="n"/>
      <c r="AJ20" s="587" t="n"/>
      <c r="AK20" s="587" t="n"/>
      <c r="AL20" s="585" t="n"/>
      <c r="AM20" s="586" t="n"/>
      <c r="AN20" s="585" t="n"/>
      <c r="AO20" s="586" t="n"/>
      <c r="AP20" s="585" t="n"/>
      <c r="AQ20" s="586" t="n"/>
      <c r="AR20" s="585" t="n"/>
      <c r="AS20" s="586" t="n"/>
    </row>
    <row r="21" ht="17.65" customFormat="1" customHeight="1" s="499">
      <c r="A21" s="581" t="n">
        <v>17</v>
      </c>
      <c r="B21" s="575">
        <f>'DSTN-TT'!B26</f>
        <v/>
      </c>
      <c r="C21" s="576">
        <f>'DSTN-TT'!C26</f>
        <v/>
      </c>
      <c r="D21" s="576">
        <f>YEAR('DSTN-TT'!D26)</f>
        <v/>
      </c>
      <c r="E21" s="577">
        <f>LEFT('Thông tin HV'!P20,LEN('Thông tin HV'!P20)+1-FIND("*",SUBSTITUTE('Thông tin HV'!P20,", ","*",LEN('Thông tin HV'!P20)-LEN(SUBSTITUTE('Thông tin HV'!P20,",","")))))</f>
        <v/>
      </c>
      <c r="F21" s="585" t="n"/>
      <c r="G21" s="586" t="n"/>
      <c r="H21" s="585" t="n"/>
      <c r="I21" s="586" t="n"/>
      <c r="J21" s="585" t="n"/>
      <c r="K21" s="586" t="n"/>
      <c r="L21" s="585" t="n"/>
      <c r="M21" s="586" t="n"/>
      <c r="N21" s="585" t="n"/>
      <c r="O21" s="586" t="n"/>
      <c r="P21" s="585" t="n"/>
      <c r="Q21" s="586" t="n"/>
      <c r="R21" s="585" t="n"/>
      <c r="S21" s="586" t="n"/>
      <c r="T21" s="585" t="n"/>
      <c r="U21" s="586" t="n"/>
      <c r="V21" s="585" t="n"/>
      <c r="W21" s="586" t="n"/>
      <c r="X21" s="585" t="n"/>
      <c r="Y21" s="586" t="n"/>
      <c r="Z21" s="585" t="n"/>
      <c r="AA21" s="586" t="n"/>
      <c r="AB21" s="585" t="n"/>
      <c r="AC21" s="586" t="n"/>
      <c r="AD21" s="587" t="n"/>
      <c r="AE21" s="587" t="n"/>
      <c r="AF21" s="587" t="n"/>
      <c r="AG21" s="587" t="n"/>
      <c r="AH21" s="587" t="n"/>
      <c r="AI21" s="587" t="n"/>
      <c r="AJ21" s="587" t="n"/>
      <c r="AK21" s="587" t="n"/>
      <c r="AL21" s="585" t="n"/>
      <c r="AM21" s="586" t="n"/>
      <c r="AN21" s="585" t="n"/>
      <c r="AO21" s="586" t="n"/>
      <c r="AP21" s="585" t="n"/>
      <c r="AQ21" s="586" t="n"/>
      <c r="AR21" s="585" t="n"/>
      <c r="AS21" s="586" t="n"/>
    </row>
    <row r="22" ht="17.65" customFormat="1" customHeight="1" s="499">
      <c r="A22" s="581" t="n">
        <v>18</v>
      </c>
      <c r="B22" s="575">
        <f>'DSTN-TT'!B27</f>
        <v/>
      </c>
      <c r="C22" s="576">
        <f>'DSTN-TT'!C27</f>
        <v/>
      </c>
      <c r="D22" s="576">
        <f>YEAR('DSTN-TT'!D27)</f>
        <v/>
      </c>
      <c r="E22" s="577">
        <f>LEFT('Thông tin HV'!P21,LEN('Thông tin HV'!P21)+1-FIND("*",SUBSTITUTE('Thông tin HV'!P21,", ","*",LEN('Thông tin HV'!P21)-LEN(SUBSTITUTE('Thông tin HV'!P21,",","")))))</f>
        <v/>
      </c>
      <c r="F22" s="585" t="n"/>
      <c r="G22" s="586" t="n"/>
      <c r="H22" s="585" t="n"/>
      <c r="I22" s="586" t="n"/>
      <c r="J22" s="585" t="n"/>
      <c r="K22" s="586" t="n"/>
      <c r="L22" s="585" t="n"/>
      <c r="M22" s="586" t="n"/>
      <c r="N22" s="585" t="n"/>
      <c r="O22" s="586" t="n"/>
      <c r="P22" s="585" t="n"/>
      <c r="Q22" s="586" t="n"/>
      <c r="R22" s="585" t="n"/>
      <c r="S22" s="586" t="n"/>
      <c r="T22" s="585" t="n"/>
      <c r="U22" s="586" t="n"/>
      <c r="V22" s="585" t="n"/>
      <c r="W22" s="586" t="n"/>
      <c r="X22" s="585" t="n"/>
      <c r="Y22" s="586" t="n"/>
      <c r="Z22" s="585" t="n"/>
      <c r="AA22" s="586" t="n"/>
      <c r="AB22" s="585" t="n"/>
      <c r="AC22" s="586" t="n"/>
      <c r="AD22" s="587" t="n"/>
      <c r="AE22" s="587" t="n"/>
      <c r="AF22" s="587" t="n"/>
      <c r="AG22" s="587" t="n"/>
      <c r="AH22" s="587" t="n"/>
      <c r="AI22" s="587" t="n"/>
      <c r="AJ22" s="587" t="n"/>
      <c r="AK22" s="587" t="n"/>
      <c r="AL22" s="585" t="n"/>
      <c r="AM22" s="586" t="n"/>
      <c r="AN22" s="585" t="n"/>
      <c r="AO22" s="586" t="n"/>
      <c r="AP22" s="585" t="n"/>
      <c r="AQ22" s="586" t="n"/>
      <c r="AR22" s="585" t="n"/>
      <c r="AS22" s="586" t="n"/>
    </row>
    <row r="23" ht="17.65" customFormat="1" customHeight="1" s="499">
      <c r="A23" s="581" t="n">
        <v>19</v>
      </c>
      <c r="B23" s="575">
        <f>'DSTN-TT'!B28</f>
        <v/>
      </c>
      <c r="C23" s="576">
        <f>'DSTN-TT'!C28</f>
        <v/>
      </c>
      <c r="D23" s="576">
        <f>YEAR('DSTN-TT'!D28)</f>
        <v/>
      </c>
      <c r="E23" s="577">
        <f>LEFT('Thông tin HV'!P22,LEN('Thông tin HV'!P22)+1-FIND("*",SUBSTITUTE('Thông tin HV'!P22,", ","*",LEN('Thông tin HV'!P22)-LEN(SUBSTITUTE('Thông tin HV'!P22,",","")))))</f>
        <v/>
      </c>
      <c r="F23" s="585" t="n"/>
      <c r="G23" s="586" t="n"/>
      <c r="H23" s="585" t="n"/>
      <c r="I23" s="586" t="n"/>
      <c r="J23" s="585" t="n"/>
      <c r="K23" s="586" t="n"/>
      <c r="L23" s="585" t="n"/>
      <c r="M23" s="586" t="n"/>
      <c r="N23" s="585" t="n"/>
      <c r="O23" s="586" t="n"/>
      <c r="P23" s="585" t="n"/>
      <c r="Q23" s="586" t="n"/>
      <c r="R23" s="585" t="n"/>
      <c r="S23" s="586" t="n"/>
      <c r="T23" s="585" t="n"/>
      <c r="U23" s="586" t="n"/>
      <c r="V23" s="585" t="n"/>
      <c r="W23" s="586" t="n"/>
      <c r="X23" s="585" t="n"/>
      <c r="Y23" s="586" t="n"/>
      <c r="Z23" s="585" t="n"/>
      <c r="AA23" s="586" t="n"/>
      <c r="AB23" s="585" t="n"/>
      <c r="AC23" s="586" t="n"/>
      <c r="AD23" s="587" t="n"/>
      <c r="AE23" s="587" t="n"/>
      <c r="AF23" s="587" t="n"/>
      <c r="AG23" s="587" t="n"/>
      <c r="AH23" s="587" t="n"/>
      <c r="AI23" s="587" t="n"/>
      <c r="AJ23" s="587" t="n"/>
      <c r="AK23" s="587" t="n"/>
      <c r="AL23" s="585" t="n"/>
      <c r="AM23" s="586" t="n"/>
      <c r="AN23" s="585" t="n"/>
      <c r="AO23" s="586" t="n"/>
      <c r="AP23" s="585" t="n"/>
      <c r="AQ23" s="586" t="n"/>
      <c r="AR23" s="585" t="n"/>
      <c r="AS23" s="586" t="n"/>
    </row>
    <row r="24" ht="17.65" customFormat="1" customHeight="1" s="499">
      <c r="A24" s="581" t="n">
        <v>20</v>
      </c>
      <c r="B24" s="575">
        <f>'DSTN-TT'!B29</f>
        <v/>
      </c>
      <c r="C24" s="576">
        <f>'DSTN-TT'!C29</f>
        <v/>
      </c>
      <c r="D24" s="576">
        <f>YEAR('DSTN-TT'!D29)</f>
        <v/>
      </c>
      <c r="E24" s="577">
        <f>LEFT('Thông tin HV'!P23,LEN('Thông tin HV'!P23)+1-FIND("*",SUBSTITUTE('Thông tin HV'!P23,", ","*",LEN('Thông tin HV'!P23)-LEN(SUBSTITUTE('Thông tin HV'!P23,",","")))))</f>
        <v/>
      </c>
      <c r="F24" s="585" t="n"/>
      <c r="G24" s="586" t="n"/>
      <c r="H24" s="585" t="n"/>
      <c r="I24" s="586" t="n"/>
      <c r="J24" s="585" t="n"/>
      <c r="K24" s="586" t="n"/>
      <c r="L24" s="585" t="n"/>
      <c r="M24" s="586" t="n"/>
      <c r="N24" s="585" t="n"/>
      <c r="O24" s="586" t="n"/>
      <c r="P24" s="585" t="n"/>
      <c r="Q24" s="586" t="n"/>
      <c r="R24" s="585" t="n"/>
      <c r="S24" s="586" t="n"/>
      <c r="T24" s="585" t="n"/>
      <c r="U24" s="586" t="n"/>
      <c r="V24" s="585" t="n"/>
      <c r="W24" s="586" t="n"/>
      <c r="X24" s="585" t="n"/>
      <c r="Y24" s="586" t="n"/>
      <c r="Z24" s="585" t="n"/>
      <c r="AA24" s="586" t="n"/>
      <c r="AB24" s="585" t="n"/>
      <c r="AC24" s="586" t="n"/>
      <c r="AD24" s="587" t="n"/>
      <c r="AE24" s="587" t="n"/>
      <c r="AF24" s="587" t="n"/>
      <c r="AG24" s="587" t="n"/>
      <c r="AH24" s="587" t="n"/>
      <c r="AI24" s="587" t="n"/>
      <c r="AJ24" s="587" t="n"/>
      <c r="AK24" s="587" t="n"/>
      <c r="AL24" s="585" t="n"/>
      <c r="AM24" s="586" t="n"/>
      <c r="AN24" s="585" t="n"/>
      <c r="AO24" s="586" t="n"/>
      <c r="AP24" s="585" t="n"/>
      <c r="AQ24" s="586" t="n"/>
      <c r="AR24" s="585" t="n"/>
      <c r="AS24" s="586" t="n"/>
    </row>
    <row r="25" ht="17.65" customFormat="1" customHeight="1" s="499">
      <c r="A25" s="581" t="n">
        <v>21</v>
      </c>
      <c r="B25" s="575">
        <f>'DSTN-TT'!B30</f>
        <v/>
      </c>
      <c r="C25" s="576">
        <f>'DSTN-TT'!C30</f>
        <v/>
      </c>
      <c r="D25" s="576">
        <f>YEAR('DSTN-TT'!D30)</f>
        <v/>
      </c>
      <c r="E25" s="577">
        <f>LEFT('Thông tin HV'!P24,LEN('Thông tin HV'!P24)+1-FIND("*",SUBSTITUTE('Thông tin HV'!P24,", ","*",LEN('Thông tin HV'!P24)-LEN(SUBSTITUTE('Thông tin HV'!P24,",","")))))</f>
        <v/>
      </c>
      <c r="F25" s="585" t="n"/>
      <c r="G25" s="586" t="n"/>
      <c r="H25" s="585" t="n"/>
      <c r="I25" s="586" t="n"/>
      <c r="J25" s="585" t="n"/>
      <c r="K25" s="586" t="n"/>
      <c r="L25" s="585" t="n"/>
      <c r="M25" s="586" t="n"/>
      <c r="N25" s="585" t="n"/>
      <c r="O25" s="586" t="n"/>
      <c r="P25" s="585" t="n"/>
      <c r="Q25" s="586" t="n"/>
      <c r="R25" s="585" t="n"/>
      <c r="S25" s="586" t="n"/>
      <c r="T25" s="585" t="n"/>
      <c r="U25" s="586" t="n"/>
      <c r="V25" s="585" t="n"/>
      <c r="W25" s="586" t="n"/>
      <c r="X25" s="585" t="n"/>
      <c r="Y25" s="586" t="n"/>
      <c r="Z25" s="585" t="n"/>
      <c r="AA25" s="586" t="n"/>
      <c r="AB25" s="585" t="n"/>
      <c r="AC25" s="586" t="n"/>
      <c r="AD25" s="587" t="n"/>
      <c r="AE25" s="587" t="n"/>
      <c r="AF25" s="587" t="n"/>
      <c r="AG25" s="587" t="n"/>
      <c r="AH25" s="587" t="n"/>
      <c r="AI25" s="587" t="n"/>
      <c r="AJ25" s="587" t="n"/>
      <c r="AK25" s="587" t="n"/>
      <c r="AL25" s="585" t="n"/>
      <c r="AM25" s="586" t="n"/>
      <c r="AN25" s="585" t="n"/>
      <c r="AO25" s="586" t="n"/>
      <c r="AP25" s="585" t="n"/>
      <c r="AQ25" s="586" t="n"/>
      <c r="AR25" s="585" t="n"/>
      <c r="AS25" s="586" t="n"/>
    </row>
    <row r="26" ht="17.65" customFormat="1" customHeight="1" s="499">
      <c r="A26" s="581" t="n">
        <v>22</v>
      </c>
      <c r="B26" s="575">
        <f>'DSTN-TT'!B31</f>
        <v/>
      </c>
      <c r="C26" s="576">
        <f>'DSTN-TT'!C31</f>
        <v/>
      </c>
      <c r="D26" s="576">
        <f>YEAR('DSTN-TT'!D31)</f>
        <v/>
      </c>
      <c r="E26" s="577">
        <f>LEFT('Thông tin HV'!P25,LEN('Thông tin HV'!P25)+1-FIND("*",SUBSTITUTE('Thông tin HV'!P25,", ","*",LEN('Thông tin HV'!P25)-LEN(SUBSTITUTE('Thông tin HV'!P25,",","")))))</f>
        <v/>
      </c>
      <c r="F26" s="585" t="n"/>
      <c r="G26" s="586" t="n"/>
      <c r="H26" s="585" t="n"/>
      <c r="I26" s="586" t="n"/>
      <c r="J26" s="585" t="n"/>
      <c r="K26" s="586" t="n"/>
      <c r="L26" s="585" t="n"/>
      <c r="M26" s="586" t="n"/>
      <c r="N26" s="585" t="n"/>
      <c r="O26" s="586" t="n"/>
      <c r="P26" s="585" t="n"/>
      <c r="Q26" s="586" t="n"/>
      <c r="R26" s="585" t="n"/>
      <c r="S26" s="586" t="n"/>
      <c r="T26" s="585" t="n"/>
      <c r="U26" s="586" t="n"/>
      <c r="V26" s="585" t="n"/>
      <c r="W26" s="586" t="n"/>
      <c r="X26" s="585" t="n"/>
      <c r="Y26" s="586" t="n"/>
      <c r="Z26" s="585" t="n"/>
      <c r="AA26" s="586" t="n"/>
      <c r="AB26" s="585" t="n"/>
      <c r="AC26" s="586" t="n"/>
      <c r="AD26" s="587" t="n"/>
      <c r="AE26" s="587" t="n"/>
      <c r="AF26" s="587" t="n"/>
      <c r="AG26" s="587" t="n"/>
      <c r="AH26" s="587" t="n"/>
      <c r="AI26" s="587" t="n"/>
      <c r="AJ26" s="587" t="n"/>
      <c r="AK26" s="587" t="n"/>
      <c r="AL26" s="585" t="n"/>
      <c r="AM26" s="586" t="n"/>
      <c r="AN26" s="585" t="n"/>
      <c r="AO26" s="586" t="n"/>
      <c r="AP26" s="585" t="n"/>
      <c r="AQ26" s="586" t="n"/>
      <c r="AR26" s="585" t="n"/>
      <c r="AS26" s="586" t="n"/>
    </row>
    <row r="27" ht="17.65" customFormat="1" customHeight="1" s="499">
      <c r="A27" s="581" t="n">
        <v>23</v>
      </c>
      <c r="B27" s="575">
        <f>'DSTN-TT'!B32</f>
        <v/>
      </c>
      <c r="C27" s="576">
        <f>'DSTN-TT'!C32</f>
        <v/>
      </c>
      <c r="D27" s="576">
        <f>YEAR('DSTN-TT'!D32)</f>
        <v/>
      </c>
      <c r="E27" s="577">
        <f>LEFT('Thông tin HV'!P26,LEN('Thông tin HV'!P26)+1-FIND("*",SUBSTITUTE('Thông tin HV'!P26,", ","*",LEN('Thông tin HV'!P26)-LEN(SUBSTITUTE('Thông tin HV'!P26,",","")))))</f>
        <v/>
      </c>
      <c r="F27" s="585" t="n"/>
      <c r="G27" s="586" t="n"/>
      <c r="H27" s="585" t="n"/>
      <c r="I27" s="586" t="n"/>
      <c r="J27" s="585" t="n"/>
      <c r="K27" s="586" t="n"/>
      <c r="L27" s="585" t="n"/>
      <c r="M27" s="586" t="n"/>
      <c r="N27" s="585" t="n"/>
      <c r="O27" s="586" t="n"/>
      <c r="P27" s="585" t="n"/>
      <c r="Q27" s="586" t="n"/>
      <c r="R27" s="585" t="n"/>
      <c r="S27" s="586" t="n"/>
      <c r="T27" s="585" t="n"/>
      <c r="U27" s="586" t="n"/>
      <c r="V27" s="585" t="n"/>
      <c r="W27" s="586" t="n"/>
      <c r="X27" s="585" t="n"/>
      <c r="Y27" s="586" t="n"/>
      <c r="Z27" s="585" t="n"/>
      <c r="AA27" s="586" t="n"/>
      <c r="AB27" s="585" t="n"/>
      <c r="AC27" s="586" t="n"/>
      <c r="AD27" s="587" t="n"/>
      <c r="AE27" s="587" t="n"/>
      <c r="AF27" s="587" t="n"/>
      <c r="AG27" s="587" t="n"/>
      <c r="AH27" s="587" t="n"/>
      <c r="AI27" s="587" t="n"/>
      <c r="AJ27" s="587" t="n"/>
      <c r="AK27" s="587" t="n"/>
      <c r="AL27" s="585" t="n"/>
      <c r="AM27" s="586" t="n"/>
      <c r="AN27" s="585" t="n"/>
      <c r="AO27" s="586" t="n"/>
      <c r="AP27" s="585" t="n"/>
      <c r="AQ27" s="586" t="n"/>
      <c r="AR27" s="585" t="n"/>
      <c r="AS27" s="586" t="n"/>
    </row>
    <row r="28" ht="17.65" customFormat="1" customHeight="1" s="588">
      <c r="A28" s="581" t="n">
        <v>24</v>
      </c>
      <c r="B28" s="575">
        <f>'DSTN-TT'!B33</f>
        <v/>
      </c>
      <c r="C28" s="576">
        <f>'DSTN-TT'!C33</f>
        <v/>
      </c>
      <c r="D28" s="576">
        <f>YEAR('DSTN-TT'!D33)</f>
        <v/>
      </c>
      <c r="E28" s="577">
        <f>LEFT('Thông tin HV'!P27,LEN('Thông tin HV'!P27)+1-FIND("*",SUBSTITUTE('Thông tin HV'!P27,", ","*",LEN('Thông tin HV'!P27)-LEN(SUBSTITUTE('Thông tin HV'!P27,",","")))))</f>
        <v/>
      </c>
      <c r="F28" s="585" t="n"/>
      <c r="G28" s="586" t="n"/>
      <c r="H28" s="585" t="n"/>
      <c r="I28" s="586" t="n"/>
      <c r="J28" s="585" t="n"/>
      <c r="K28" s="586" t="n"/>
      <c r="L28" s="585" t="n"/>
      <c r="M28" s="586" t="n"/>
      <c r="N28" s="585" t="n"/>
      <c r="O28" s="586" t="n"/>
      <c r="P28" s="585" t="n"/>
      <c r="Q28" s="586" t="n"/>
      <c r="R28" s="585" t="n"/>
      <c r="S28" s="586" t="n"/>
      <c r="T28" s="585" t="n"/>
      <c r="U28" s="586" t="n"/>
      <c r="V28" s="585" t="n"/>
      <c r="W28" s="586" t="n"/>
      <c r="X28" s="585" t="n"/>
      <c r="Y28" s="586" t="n"/>
      <c r="Z28" s="585" t="n"/>
      <c r="AA28" s="586" t="n"/>
      <c r="AB28" s="585" t="n"/>
      <c r="AC28" s="586" t="n"/>
      <c r="AD28" s="587" t="n"/>
      <c r="AE28" s="587" t="n"/>
      <c r="AF28" s="587" t="n"/>
      <c r="AG28" s="587" t="n"/>
      <c r="AH28" s="587" t="n"/>
      <c r="AI28" s="587" t="n"/>
      <c r="AJ28" s="587" t="n"/>
      <c r="AK28" s="587" t="n"/>
      <c r="AL28" s="585" t="n"/>
      <c r="AM28" s="586" t="n"/>
      <c r="AN28" s="585" t="n"/>
      <c r="AO28" s="586" t="n"/>
      <c r="AP28" s="585" t="n"/>
      <c r="AQ28" s="586" t="n"/>
      <c r="AR28" s="585" t="n"/>
      <c r="AS28" s="586" t="n"/>
    </row>
    <row r="29" ht="17.65" customFormat="1" customHeight="1" s="499">
      <c r="A29" s="581" t="n">
        <v>25</v>
      </c>
      <c r="B29" s="575">
        <f>'DSTN-TT'!B34</f>
        <v/>
      </c>
      <c r="C29" s="576">
        <f>'DSTN-TT'!C34</f>
        <v/>
      </c>
      <c r="D29" s="576">
        <f>YEAR('DSTN-TT'!D34)</f>
        <v/>
      </c>
      <c r="E29" s="577">
        <f>LEFT('Thông tin HV'!P28,LEN('Thông tin HV'!P28)+1-FIND("*",SUBSTITUTE('Thông tin HV'!P28,", ","*",LEN('Thông tin HV'!P28)-LEN(SUBSTITUTE('Thông tin HV'!P28,",","")))))</f>
        <v/>
      </c>
      <c r="F29" s="585" t="n"/>
      <c r="G29" s="586" t="n"/>
      <c r="H29" s="585" t="n"/>
      <c r="I29" s="586" t="n"/>
      <c r="J29" s="585" t="n"/>
      <c r="K29" s="586" t="n"/>
      <c r="L29" s="585" t="n"/>
      <c r="M29" s="586" t="n"/>
      <c r="N29" s="585" t="n"/>
      <c r="O29" s="586" t="n"/>
      <c r="P29" s="585" t="n"/>
      <c r="Q29" s="586" t="n"/>
      <c r="R29" s="585" t="n"/>
      <c r="S29" s="586" t="n"/>
      <c r="T29" s="585" t="n"/>
      <c r="U29" s="586" t="n"/>
      <c r="V29" s="585" t="n"/>
      <c r="W29" s="586" t="n"/>
      <c r="X29" s="585" t="n"/>
      <c r="Y29" s="586" t="n"/>
      <c r="Z29" s="585" t="n"/>
      <c r="AA29" s="586" t="n"/>
      <c r="AB29" s="585" t="n"/>
      <c r="AC29" s="586" t="n"/>
      <c r="AD29" s="587" t="n"/>
      <c r="AE29" s="587" t="n"/>
      <c r="AF29" s="587" t="n"/>
      <c r="AG29" s="587" t="n"/>
      <c r="AH29" s="587" t="n"/>
      <c r="AI29" s="587" t="n"/>
      <c r="AJ29" s="587" t="n"/>
      <c r="AK29" s="587" t="n"/>
      <c r="AL29" s="585" t="n"/>
      <c r="AM29" s="586" t="n"/>
      <c r="AN29" s="585" t="n"/>
      <c r="AO29" s="586" t="n"/>
      <c r="AP29" s="585" t="n"/>
      <c r="AQ29" s="586" t="n"/>
      <c r="AR29" s="585" t="n"/>
      <c r="AS29" s="586" t="n"/>
    </row>
    <row r="30" ht="17.65" customFormat="1" customHeight="1" s="588">
      <c r="A30" s="581" t="n">
        <v>26</v>
      </c>
      <c r="B30" s="575">
        <f>'DSTN-TT'!B35</f>
        <v/>
      </c>
      <c r="C30" s="576">
        <f>'DSTN-TT'!C35</f>
        <v/>
      </c>
      <c r="D30" s="576">
        <f>YEAR('DSTN-TT'!D35)</f>
        <v/>
      </c>
      <c r="E30" s="577">
        <f>LEFT('Thông tin HV'!P29,LEN('Thông tin HV'!P29)+1-FIND("*",SUBSTITUTE('Thông tin HV'!P29,", ","*",LEN('Thông tin HV'!P29)-LEN(SUBSTITUTE('Thông tin HV'!P29,",","")))))</f>
        <v/>
      </c>
      <c r="F30" s="585" t="n"/>
      <c r="G30" s="586" t="n"/>
      <c r="H30" s="585" t="n"/>
      <c r="I30" s="586" t="n"/>
      <c r="J30" s="585" t="n"/>
      <c r="K30" s="586" t="n"/>
      <c r="L30" s="585" t="n"/>
      <c r="M30" s="586" t="n"/>
      <c r="N30" s="585" t="n"/>
      <c r="O30" s="586" t="n"/>
      <c r="P30" s="585" t="n"/>
      <c r="Q30" s="586" t="n"/>
      <c r="R30" s="585" t="n"/>
      <c r="S30" s="586" t="n"/>
      <c r="T30" s="585" t="n"/>
      <c r="U30" s="586" t="n"/>
      <c r="V30" s="585" t="n"/>
      <c r="W30" s="586" t="n"/>
      <c r="X30" s="585" t="n"/>
      <c r="Y30" s="586" t="n"/>
      <c r="Z30" s="585" t="n"/>
      <c r="AA30" s="586" t="n"/>
      <c r="AB30" s="585" t="n"/>
      <c r="AC30" s="586" t="n"/>
      <c r="AD30" s="587" t="n"/>
      <c r="AE30" s="587" t="n"/>
      <c r="AF30" s="587" t="n"/>
      <c r="AG30" s="587" t="n"/>
      <c r="AH30" s="587" t="n"/>
      <c r="AI30" s="587" t="n"/>
      <c r="AJ30" s="587" t="n"/>
      <c r="AK30" s="587" t="n"/>
      <c r="AL30" s="585" t="n"/>
      <c r="AM30" s="586" t="n"/>
      <c r="AN30" s="585" t="n"/>
      <c r="AO30" s="586" t="n"/>
      <c r="AP30" s="585" t="n"/>
      <c r="AQ30" s="586" t="n"/>
      <c r="AR30" s="585" t="n"/>
      <c r="AS30" s="586" t="n"/>
    </row>
    <row r="31" ht="17.65" customFormat="1" customHeight="1" s="588">
      <c r="A31" s="581" t="n">
        <v>27</v>
      </c>
      <c r="B31" s="575">
        <f>'DSTN-TT'!B36</f>
        <v/>
      </c>
      <c r="C31" s="576">
        <f>'DSTN-TT'!C36</f>
        <v/>
      </c>
      <c r="D31" s="576">
        <f>YEAR('DSTN-TT'!D36)</f>
        <v/>
      </c>
      <c r="E31" s="577">
        <f>LEFT('Thông tin HV'!P30,LEN('Thông tin HV'!P30)+1-FIND("*",SUBSTITUTE('Thông tin HV'!P30,", ","*",LEN('Thông tin HV'!P30)-LEN(SUBSTITUTE('Thông tin HV'!P30,",","")))))</f>
        <v/>
      </c>
      <c r="F31" s="585" t="n"/>
      <c r="G31" s="586" t="n"/>
      <c r="H31" s="585" t="n"/>
      <c r="I31" s="586" t="n"/>
      <c r="J31" s="585" t="n"/>
      <c r="K31" s="586" t="n"/>
      <c r="L31" s="585" t="n"/>
      <c r="M31" s="586" t="n"/>
      <c r="N31" s="585" t="n"/>
      <c r="O31" s="586" t="n"/>
      <c r="P31" s="585" t="n"/>
      <c r="Q31" s="586" t="n"/>
      <c r="R31" s="585" t="n"/>
      <c r="S31" s="586" t="n"/>
      <c r="T31" s="585" t="n"/>
      <c r="U31" s="586" t="n"/>
      <c r="V31" s="585" t="n"/>
      <c r="W31" s="586" t="n"/>
      <c r="X31" s="585" t="n"/>
      <c r="Y31" s="586" t="n"/>
      <c r="Z31" s="585" t="n"/>
      <c r="AA31" s="586" t="n"/>
      <c r="AB31" s="585" t="n"/>
      <c r="AC31" s="586" t="n"/>
      <c r="AD31" s="587" t="n"/>
      <c r="AE31" s="587" t="n"/>
      <c r="AF31" s="587" t="n"/>
      <c r="AG31" s="587" t="n"/>
      <c r="AH31" s="587" t="n"/>
      <c r="AI31" s="587" t="n"/>
      <c r="AJ31" s="587" t="n"/>
      <c r="AK31" s="587" t="n"/>
      <c r="AL31" s="585" t="n"/>
      <c r="AM31" s="586" t="n"/>
      <c r="AN31" s="585" t="n"/>
      <c r="AO31" s="586" t="n"/>
      <c r="AP31" s="585" t="n"/>
      <c r="AQ31" s="586" t="n"/>
      <c r="AR31" s="585" t="n"/>
      <c r="AS31" s="586" t="n"/>
    </row>
    <row r="32" ht="17.65" customFormat="1" customHeight="1" s="499">
      <c r="A32" s="581" t="n">
        <v>28</v>
      </c>
      <c r="B32" s="575">
        <f>'DSTN-TT'!B37</f>
        <v/>
      </c>
      <c r="C32" s="576">
        <f>'DSTN-TT'!C37</f>
        <v/>
      </c>
      <c r="D32" s="576">
        <f>YEAR('DSTN-TT'!D37)</f>
        <v/>
      </c>
      <c r="E32" s="577">
        <f>LEFT('Thông tin HV'!P31,LEN('Thông tin HV'!P31)+1-FIND("*",SUBSTITUTE('Thông tin HV'!P31,", ","*",LEN('Thông tin HV'!P31)-LEN(SUBSTITUTE('Thông tin HV'!P31,",","")))))</f>
        <v/>
      </c>
      <c r="F32" s="585" t="n"/>
      <c r="G32" s="586" t="n"/>
      <c r="H32" s="585" t="n"/>
      <c r="I32" s="586" t="n"/>
      <c r="J32" s="585" t="n"/>
      <c r="K32" s="586" t="n"/>
      <c r="L32" s="585" t="n"/>
      <c r="M32" s="586" t="n"/>
      <c r="N32" s="585" t="n"/>
      <c r="O32" s="586" t="n"/>
      <c r="P32" s="585" t="n"/>
      <c r="Q32" s="586" t="n"/>
      <c r="R32" s="585" t="n"/>
      <c r="S32" s="586" t="n"/>
      <c r="T32" s="585" t="n"/>
      <c r="U32" s="586" t="n"/>
      <c r="V32" s="585" t="n"/>
      <c r="W32" s="586" t="n"/>
      <c r="X32" s="585" t="n"/>
      <c r="Y32" s="586" t="n"/>
      <c r="Z32" s="585" t="n"/>
      <c r="AA32" s="586" t="n"/>
      <c r="AB32" s="585" t="n"/>
      <c r="AC32" s="586" t="n"/>
      <c r="AD32" s="587" t="n"/>
      <c r="AE32" s="587" t="n"/>
      <c r="AF32" s="587" t="n"/>
      <c r="AG32" s="587" t="n"/>
      <c r="AH32" s="587" t="n"/>
      <c r="AI32" s="587" t="n"/>
      <c r="AJ32" s="587" t="n"/>
      <c r="AK32" s="587" t="n"/>
      <c r="AL32" s="585" t="n"/>
      <c r="AM32" s="586" t="n"/>
      <c r="AN32" s="585" t="n"/>
      <c r="AO32" s="586" t="n"/>
      <c r="AP32" s="585" t="n"/>
      <c r="AQ32" s="586" t="n"/>
      <c r="AR32" s="585" t="n"/>
      <c r="AS32" s="586" t="n"/>
    </row>
    <row r="33" ht="17.65" customFormat="1" customHeight="1" s="499">
      <c r="A33" s="581" t="n">
        <v>29</v>
      </c>
      <c r="B33" s="575">
        <f>'DSTN-TT'!B38</f>
        <v/>
      </c>
      <c r="C33" s="576">
        <f>'DSTN-TT'!C38</f>
        <v/>
      </c>
      <c r="D33" s="576">
        <f>YEAR('DSTN-TT'!D38)</f>
        <v/>
      </c>
      <c r="E33" s="577">
        <f>LEFT('Thông tin HV'!P32,LEN('Thông tin HV'!P32)+1-FIND("*",SUBSTITUTE('Thông tin HV'!P32,", ","*",LEN('Thông tin HV'!P32)-LEN(SUBSTITUTE('Thông tin HV'!P32,",","")))))</f>
        <v/>
      </c>
      <c r="F33" s="585" t="n"/>
      <c r="G33" s="586" t="n"/>
      <c r="H33" s="585" t="n"/>
      <c r="I33" s="586" t="n"/>
      <c r="J33" s="585" t="n"/>
      <c r="K33" s="586" t="n"/>
      <c r="L33" s="585" t="n"/>
      <c r="M33" s="586" t="n"/>
      <c r="N33" s="585" t="n"/>
      <c r="O33" s="586" t="n"/>
      <c r="P33" s="585" t="n"/>
      <c r="Q33" s="586" t="n"/>
      <c r="R33" s="585" t="n"/>
      <c r="S33" s="586" t="n"/>
      <c r="T33" s="585" t="n"/>
      <c r="U33" s="586" t="n"/>
      <c r="V33" s="585" t="n"/>
      <c r="W33" s="586" t="n"/>
      <c r="X33" s="585" t="n"/>
      <c r="Y33" s="586" t="n"/>
      <c r="Z33" s="585" t="n"/>
      <c r="AA33" s="586" t="n"/>
      <c r="AB33" s="585" t="n"/>
      <c r="AC33" s="586" t="n"/>
      <c r="AD33" s="587" t="n"/>
      <c r="AE33" s="587" t="n"/>
      <c r="AF33" s="587" t="n"/>
      <c r="AG33" s="587" t="n"/>
      <c r="AH33" s="587" t="n"/>
      <c r="AI33" s="587" t="n"/>
      <c r="AJ33" s="587" t="n"/>
      <c r="AK33" s="587" t="n"/>
      <c r="AL33" s="585" t="n"/>
      <c r="AM33" s="586" t="n"/>
      <c r="AN33" s="585" t="n"/>
      <c r="AO33" s="586" t="n"/>
      <c r="AP33" s="585" t="n"/>
      <c r="AQ33" s="586" t="n"/>
      <c r="AR33" s="585" t="n"/>
      <c r="AS33" s="586" t="n"/>
    </row>
    <row r="34" ht="17.65" customFormat="1" customHeight="1" s="588">
      <c r="A34" s="581" t="n">
        <v>30</v>
      </c>
      <c r="B34" s="575">
        <f>'DSTN-TT'!B39</f>
        <v/>
      </c>
      <c r="C34" s="576">
        <f>'DSTN-TT'!C39</f>
        <v/>
      </c>
      <c r="D34" s="576">
        <f>YEAR('DSTN-TT'!D39)</f>
        <v/>
      </c>
      <c r="E34" s="577">
        <f>LEFT('Thông tin HV'!P33,LEN('Thông tin HV'!P33)+1-FIND("*",SUBSTITUTE('Thông tin HV'!P33,", ","*",LEN('Thông tin HV'!P33)-LEN(SUBSTITUTE('Thông tin HV'!P33,",","")))))</f>
        <v/>
      </c>
      <c r="F34" s="585" t="n"/>
      <c r="G34" s="586" t="n"/>
      <c r="H34" s="585" t="n"/>
      <c r="I34" s="586" t="n"/>
      <c r="J34" s="585" t="n"/>
      <c r="K34" s="586" t="n"/>
      <c r="L34" s="585" t="n"/>
      <c r="M34" s="586" t="n"/>
      <c r="N34" s="585" t="n"/>
      <c r="O34" s="586" t="n"/>
      <c r="P34" s="585" t="n"/>
      <c r="Q34" s="586" t="n"/>
      <c r="R34" s="585" t="n"/>
      <c r="S34" s="586" t="n"/>
      <c r="T34" s="585" t="n"/>
      <c r="U34" s="586" t="n"/>
      <c r="V34" s="585" t="n"/>
      <c r="W34" s="586" t="n"/>
      <c r="X34" s="585" t="n"/>
      <c r="Y34" s="586" t="n"/>
      <c r="Z34" s="585" t="n"/>
      <c r="AA34" s="586" t="n"/>
      <c r="AB34" s="585" t="n"/>
      <c r="AC34" s="586" t="n"/>
      <c r="AD34" s="587" t="n"/>
      <c r="AE34" s="587" t="n"/>
      <c r="AF34" s="587" t="n"/>
      <c r="AG34" s="587" t="n"/>
      <c r="AH34" s="587" t="n"/>
      <c r="AI34" s="587" t="n"/>
      <c r="AJ34" s="587" t="n"/>
      <c r="AK34" s="587" t="n"/>
      <c r="AL34" s="585" t="n"/>
      <c r="AM34" s="586" t="n"/>
      <c r="AN34" s="585" t="n"/>
      <c r="AO34" s="586" t="n"/>
      <c r="AP34" s="585" t="n"/>
      <c r="AQ34" s="586" t="n"/>
      <c r="AR34" s="585" t="n"/>
      <c r="AS34" s="586" t="n"/>
    </row>
    <row r="35" ht="17.65" customFormat="1" customHeight="1" s="499">
      <c r="A35" s="581" t="n">
        <v>31</v>
      </c>
      <c r="B35" s="575">
        <f>'DSTN-TT'!B40</f>
        <v/>
      </c>
      <c r="C35" s="576">
        <f>'DSTN-TT'!C40</f>
        <v/>
      </c>
      <c r="D35" s="576">
        <f>YEAR('DSTN-TT'!D40)</f>
        <v/>
      </c>
      <c r="E35" s="577">
        <f>LEFT('Thông tin HV'!P34,LEN('Thông tin HV'!P34)+1-FIND("*",SUBSTITUTE('Thông tin HV'!P34,", ","*",LEN('Thông tin HV'!P34)-LEN(SUBSTITUTE('Thông tin HV'!P34,",","")))))</f>
        <v/>
      </c>
      <c r="F35" s="585" t="n"/>
      <c r="G35" s="586" t="n"/>
      <c r="H35" s="585" t="n"/>
      <c r="I35" s="586" t="n"/>
      <c r="J35" s="585" t="n"/>
      <c r="K35" s="586" t="n"/>
      <c r="L35" s="585" t="n"/>
      <c r="M35" s="586" t="n"/>
      <c r="N35" s="585" t="n"/>
      <c r="O35" s="586" t="n"/>
      <c r="P35" s="585" t="n"/>
      <c r="Q35" s="586" t="n"/>
      <c r="R35" s="585" t="n"/>
      <c r="S35" s="586" t="n"/>
      <c r="T35" s="585" t="n"/>
      <c r="U35" s="586" t="n"/>
      <c r="V35" s="585" t="n"/>
      <c r="W35" s="586" t="n"/>
      <c r="X35" s="585" t="n"/>
      <c r="Y35" s="586" t="n"/>
      <c r="Z35" s="585" t="n"/>
      <c r="AA35" s="586" t="n"/>
      <c r="AB35" s="585" t="n"/>
      <c r="AC35" s="586" t="n"/>
      <c r="AD35" s="587" t="n"/>
      <c r="AE35" s="587" t="n"/>
      <c r="AF35" s="587" t="n"/>
      <c r="AG35" s="587" t="n"/>
      <c r="AH35" s="587" t="n"/>
      <c r="AI35" s="587" t="n"/>
      <c r="AJ35" s="587" t="n"/>
      <c r="AK35" s="587" t="n"/>
      <c r="AL35" s="585" t="n"/>
      <c r="AM35" s="586" t="n"/>
      <c r="AN35" s="585" t="n"/>
      <c r="AO35" s="586" t="n"/>
      <c r="AP35" s="585" t="n"/>
      <c r="AQ35" s="586" t="n"/>
      <c r="AR35" s="585" t="n"/>
      <c r="AS35" s="586" t="n"/>
    </row>
    <row r="36" ht="17.65" customFormat="1" customHeight="1" s="499">
      <c r="A36" s="581" t="n">
        <v>32</v>
      </c>
      <c r="B36" s="575">
        <f>'DSTN-TT'!B41</f>
        <v/>
      </c>
      <c r="C36" s="576">
        <f>'DSTN-TT'!C41</f>
        <v/>
      </c>
      <c r="D36" s="576">
        <f>YEAR('DSTN-TT'!D41)</f>
        <v/>
      </c>
      <c r="E36" s="577">
        <f>LEFT('Thông tin HV'!P35,LEN('Thông tin HV'!P35)+1-FIND("*",SUBSTITUTE('Thông tin HV'!P35,", ","*",LEN('Thông tin HV'!P35)-LEN(SUBSTITUTE('Thông tin HV'!P35,",","")))))</f>
        <v/>
      </c>
      <c r="F36" s="585" t="n"/>
      <c r="G36" s="586" t="n"/>
      <c r="H36" s="585" t="n"/>
      <c r="I36" s="586" t="n"/>
      <c r="J36" s="585" t="n"/>
      <c r="K36" s="586" t="n"/>
      <c r="L36" s="585" t="n"/>
      <c r="M36" s="586" t="n"/>
      <c r="N36" s="585" t="n"/>
      <c r="O36" s="586" t="n"/>
      <c r="P36" s="585" t="n"/>
      <c r="Q36" s="586" t="n"/>
      <c r="R36" s="585" t="n"/>
      <c r="S36" s="586" t="n"/>
      <c r="T36" s="585" t="n"/>
      <c r="U36" s="586" t="n"/>
      <c r="V36" s="585" t="n"/>
      <c r="W36" s="586" t="n"/>
      <c r="X36" s="585" t="n"/>
      <c r="Y36" s="586" t="n"/>
      <c r="Z36" s="585" t="n"/>
      <c r="AA36" s="586" t="n"/>
      <c r="AB36" s="585" t="n"/>
      <c r="AC36" s="586" t="n"/>
      <c r="AD36" s="587" t="n"/>
      <c r="AE36" s="587" t="n"/>
      <c r="AF36" s="587" t="n"/>
      <c r="AG36" s="587" t="n"/>
      <c r="AH36" s="587" t="n"/>
      <c r="AI36" s="587" t="n"/>
      <c r="AJ36" s="587" t="n"/>
      <c r="AK36" s="587" t="n"/>
      <c r="AL36" s="585" t="n"/>
      <c r="AM36" s="586" t="n"/>
      <c r="AN36" s="585" t="n"/>
      <c r="AO36" s="586" t="n"/>
      <c r="AP36" s="585" t="n"/>
      <c r="AQ36" s="586" t="n"/>
      <c r="AR36" s="585" t="n"/>
      <c r="AS36" s="586" t="n"/>
    </row>
    <row r="37" ht="17.65" customFormat="1" customHeight="1" s="499">
      <c r="A37" s="581" t="n">
        <v>33</v>
      </c>
      <c r="B37" s="575">
        <f>'DSTN-TT'!B42</f>
        <v/>
      </c>
      <c r="C37" s="576">
        <f>'DSTN-TT'!C42</f>
        <v/>
      </c>
      <c r="D37" s="576">
        <f>YEAR('DSTN-TT'!D42)</f>
        <v/>
      </c>
      <c r="E37" s="577">
        <f>LEFT('Thông tin HV'!P36,LEN('Thông tin HV'!P36)+1-FIND("*",SUBSTITUTE('Thông tin HV'!P36,", ","*",LEN('Thông tin HV'!P36)-LEN(SUBSTITUTE('Thông tin HV'!P36,",","")))))</f>
        <v/>
      </c>
      <c r="F37" s="585" t="n"/>
      <c r="G37" s="586" t="n"/>
      <c r="H37" s="585" t="n"/>
      <c r="I37" s="586" t="n"/>
      <c r="J37" s="585" t="n"/>
      <c r="K37" s="586" t="n"/>
      <c r="L37" s="585" t="n"/>
      <c r="M37" s="586" t="n"/>
      <c r="N37" s="585" t="n"/>
      <c r="O37" s="586" t="n"/>
      <c r="P37" s="585" t="n"/>
      <c r="Q37" s="586" t="n"/>
      <c r="R37" s="585" t="n"/>
      <c r="S37" s="586" t="n"/>
      <c r="T37" s="585" t="n"/>
      <c r="U37" s="586" t="n"/>
      <c r="V37" s="585" t="n"/>
      <c r="W37" s="586" t="n"/>
      <c r="X37" s="585" t="n"/>
      <c r="Y37" s="586" t="n"/>
      <c r="Z37" s="585" t="n"/>
      <c r="AA37" s="586" t="n"/>
      <c r="AB37" s="585" t="n"/>
      <c r="AC37" s="586" t="n"/>
      <c r="AD37" s="587" t="n"/>
      <c r="AE37" s="587" t="n"/>
      <c r="AF37" s="587" t="n"/>
      <c r="AG37" s="587" t="n"/>
      <c r="AH37" s="587" t="n"/>
      <c r="AI37" s="587" t="n"/>
      <c r="AJ37" s="587" t="n"/>
      <c r="AK37" s="587" t="n"/>
      <c r="AL37" s="585" t="n"/>
      <c r="AM37" s="586" t="n"/>
      <c r="AN37" s="585" t="n"/>
      <c r="AO37" s="586" t="n"/>
      <c r="AP37" s="585" t="n"/>
      <c r="AQ37" s="586" t="n"/>
      <c r="AR37" s="585" t="n"/>
      <c r="AS37" s="586" t="n"/>
    </row>
    <row r="38" ht="17.65" customFormat="1" customHeight="1" s="499">
      <c r="A38" s="581" t="n">
        <v>34</v>
      </c>
      <c r="B38" s="575">
        <f>'DSTN-TT'!B43</f>
        <v/>
      </c>
      <c r="C38" s="576">
        <f>'DSTN-TT'!C43</f>
        <v/>
      </c>
      <c r="D38" s="576">
        <f>YEAR('DSTN-TT'!D43)</f>
        <v/>
      </c>
      <c r="E38" s="577">
        <f>LEFT('Thông tin HV'!P37,LEN('Thông tin HV'!P37)+1-FIND("*",SUBSTITUTE('Thông tin HV'!P37,", ","*",LEN('Thông tin HV'!P37)-LEN(SUBSTITUTE('Thông tin HV'!P37,",","")))))</f>
        <v/>
      </c>
      <c r="F38" s="585" t="n"/>
      <c r="G38" s="586" t="n"/>
      <c r="H38" s="585" t="n"/>
      <c r="I38" s="586" t="n"/>
      <c r="J38" s="585" t="n"/>
      <c r="K38" s="586" t="n"/>
      <c r="L38" s="585" t="n"/>
      <c r="M38" s="586" t="n"/>
      <c r="N38" s="585" t="n"/>
      <c r="O38" s="586" t="n"/>
      <c r="P38" s="585" t="n"/>
      <c r="Q38" s="586" t="n"/>
      <c r="R38" s="585" t="n"/>
      <c r="S38" s="586" t="n"/>
      <c r="T38" s="585" t="n"/>
      <c r="U38" s="586" t="n"/>
      <c r="V38" s="585" t="n"/>
      <c r="W38" s="586" t="n"/>
      <c r="X38" s="585" t="n"/>
      <c r="Y38" s="586" t="n"/>
      <c r="Z38" s="585" t="n"/>
      <c r="AA38" s="586" t="n"/>
      <c r="AB38" s="585" t="n"/>
      <c r="AC38" s="586" t="n"/>
      <c r="AD38" s="587" t="n"/>
      <c r="AE38" s="587" t="n"/>
      <c r="AF38" s="587" t="n"/>
      <c r="AG38" s="587" t="n"/>
      <c r="AH38" s="587" t="n"/>
      <c r="AI38" s="587" t="n"/>
      <c r="AJ38" s="587" t="n"/>
      <c r="AK38" s="587" t="n"/>
      <c r="AL38" s="585" t="n"/>
      <c r="AM38" s="586" t="n"/>
      <c r="AN38" s="585" t="n"/>
      <c r="AO38" s="586" t="n"/>
      <c r="AP38" s="585" t="n"/>
      <c r="AQ38" s="586" t="n"/>
      <c r="AR38" s="585" t="n"/>
      <c r="AS38" s="586" t="n"/>
    </row>
    <row r="39" ht="17.65" customFormat="1" customHeight="1" s="499">
      <c r="A39" s="589" t="n">
        <v>35</v>
      </c>
      <c r="B39" s="575">
        <f>'DSTN-TT'!B44</f>
        <v/>
      </c>
      <c r="C39" s="576">
        <f>'DSTN-TT'!C44</f>
        <v/>
      </c>
      <c r="D39" s="576">
        <f>YEAR('DSTN-TT'!D44)</f>
        <v/>
      </c>
      <c r="E39" s="577">
        <f>LEFT('Thông tin HV'!P38,LEN('Thông tin HV'!P38)+1-FIND("*",SUBSTITUTE('Thông tin HV'!P38,", ","*",LEN('Thông tin HV'!P38)-LEN(SUBSTITUTE('Thông tin HV'!P38,",","")))))</f>
        <v/>
      </c>
      <c r="F39" s="590" t="n"/>
      <c r="G39" s="591" t="n"/>
      <c r="H39" s="590" t="n"/>
      <c r="I39" s="591" t="n"/>
      <c r="J39" s="590" t="n"/>
      <c r="K39" s="591" t="n"/>
      <c r="L39" s="590" t="n"/>
      <c r="M39" s="591" t="n"/>
      <c r="N39" s="590" t="n"/>
      <c r="O39" s="591" t="n"/>
      <c r="P39" s="590" t="n"/>
      <c r="Q39" s="591" t="n"/>
      <c r="R39" s="590" t="n"/>
      <c r="S39" s="591" t="n"/>
      <c r="T39" s="590" t="n"/>
      <c r="U39" s="591" t="n"/>
      <c r="V39" s="590" t="n"/>
      <c r="W39" s="591" t="n"/>
      <c r="X39" s="590" t="n"/>
      <c r="Y39" s="591" t="n"/>
      <c r="Z39" s="590" t="n"/>
      <c r="AA39" s="591" t="n"/>
      <c r="AB39" s="590" t="n"/>
      <c r="AC39" s="591" t="n"/>
      <c r="AD39" s="592" t="n"/>
      <c r="AE39" s="592" t="n"/>
      <c r="AF39" s="592" t="n"/>
      <c r="AG39" s="592" t="n"/>
      <c r="AH39" s="592" t="n"/>
      <c r="AI39" s="592" t="n"/>
      <c r="AJ39" s="592" t="n"/>
      <c r="AK39" s="592" t="n"/>
      <c r="AL39" s="590" t="n"/>
      <c r="AM39" s="591" t="n"/>
      <c r="AN39" s="590" t="n"/>
      <c r="AO39" s="591" t="n"/>
      <c r="AP39" s="590" t="n"/>
      <c r="AQ39" s="591" t="n"/>
      <c r="AR39" s="590" t="n"/>
      <c r="AS39" s="591" t="n"/>
    </row>
    <row r="40" ht="20.25" customFormat="1" customHeight="1" s="588">
      <c r="A40" s="456" t="n"/>
      <c r="B40" s="392" t="inlineStr">
        <is>
          <t>Nhận xét, đánh giá hàng ngày:</t>
        </is>
      </c>
      <c r="C40" s="392" t="n"/>
      <c r="D40" s="392" t="n"/>
      <c r="E40" s="392" t="n"/>
      <c r="F40" s="588" t="n"/>
      <c r="AU40" s="593" t="n"/>
    </row>
    <row r="41" ht="17.25" customFormat="1" customHeight="1" s="499">
      <c r="A41" s="456" t="n"/>
      <c r="B41" s="392" t="n"/>
      <c r="C41" s="392" t="n"/>
      <c r="D41" s="457" t="n"/>
      <c r="E41" s="392" t="n"/>
      <c r="F41" s="499" t="n"/>
      <c r="AU41" s="594" t="n"/>
    </row>
    <row r="42" ht="18" customFormat="1" customHeight="1" s="499">
      <c r="A42" s="587" t="n"/>
      <c r="B42" s="584" t="n"/>
      <c r="C42" s="584" t="n"/>
      <c r="D42" s="595" t="n"/>
      <c r="E42" s="584" t="n"/>
      <c r="F42" s="596" t="n"/>
      <c r="G42" s="596" t="n"/>
      <c r="H42" s="596" t="n"/>
      <c r="I42" s="596" t="n"/>
      <c r="J42" s="596" t="n"/>
      <c r="K42" s="596" t="n"/>
      <c r="L42" s="596" t="n"/>
      <c r="M42" s="596" t="n"/>
      <c r="N42" s="596" t="n"/>
      <c r="O42" s="596" t="n"/>
      <c r="P42" s="596" t="n"/>
      <c r="Q42" s="596" t="n"/>
      <c r="R42" s="596" t="n"/>
      <c r="S42" s="596" t="n"/>
      <c r="T42" s="596" t="n"/>
      <c r="U42" s="596" t="n"/>
      <c r="V42" s="596" t="n"/>
      <c r="W42" s="596" t="n"/>
      <c r="X42" s="596" t="n"/>
      <c r="Y42" s="596" t="n"/>
      <c r="Z42" s="596" t="n"/>
      <c r="AA42" s="596" t="n"/>
      <c r="AB42" s="596" t="n"/>
      <c r="AC42" s="596" t="n"/>
      <c r="AD42" s="596" t="n"/>
      <c r="AE42" s="596" t="n"/>
      <c r="AF42" s="596" t="n"/>
      <c r="AG42" s="596" t="n"/>
      <c r="AH42" s="596" t="n"/>
      <c r="AI42" s="596" t="n"/>
      <c r="AJ42" s="596" t="n"/>
      <c r="AK42" s="596" t="n"/>
      <c r="AL42" s="596" t="n"/>
      <c r="AM42" s="596" t="n"/>
      <c r="AN42" s="596" t="n"/>
      <c r="AO42" s="596" t="n"/>
      <c r="AP42" s="596" t="n"/>
      <c r="AQ42" s="596" t="n"/>
      <c r="AR42" s="596" t="n"/>
      <c r="AS42" s="596" t="n"/>
      <c r="AU42" s="594" t="n"/>
    </row>
    <row r="43" ht="18" customFormat="1" customHeight="1" s="499">
      <c r="A43" s="587" t="n"/>
      <c r="B43" s="584" t="n"/>
      <c r="C43" s="584" t="n"/>
      <c r="D43" s="595" t="n"/>
      <c r="E43" s="584" t="n"/>
      <c r="F43" s="596" t="n"/>
      <c r="G43" s="596" t="n"/>
      <c r="H43" s="596" t="n"/>
      <c r="I43" s="596" t="n"/>
      <c r="J43" s="596" t="n"/>
      <c r="K43" s="596" t="n"/>
      <c r="L43" s="596" t="n"/>
      <c r="M43" s="596" t="n"/>
      <c r="N43" s="596" t="n"/>
      <c r="O43" s="596" t="n"/>
      <c r="P43" s="596" t="n"/>
      <c r="Q43" s="596" t="n"/>
      <c r="R43" s="596" t="n"/>
      <c r="S43" s="596" t="n"/>
      <c r="T43" s="596" t="n"/>
      <c r="U43" s="596" t="n"/>
      <c r="V43" s="596" t="n"/>
      <c r="W43" s="596" t="n"/>
      <c r="X43" s="596" t="n"/>
      <c r="Y43" s="596" t="n"/>
      <c r="Z43" s="596" t="n"/>
      <c r="AA43" s="596" t="n"/>
      <c r="AB43" s="596" t="n"/>
      <c r="AC43" s="596" t="n"/>
      <c r="AD43" s="596" t="n"/>
      <c r="AE43" s="596" t="n"/>
      <c r="AF43" s="596" t="n"/>
      <c r="AG43" s="596" t="n"/>
      <c r="AH43" s="596" t="n"/>
      <c r="AI43" s="596" t="n"/>
      <c r="AJ43" s="596" t="n"/>
      <c r="AK43" s="596" t="n"/>
      <c r="AL43" s="596" t="n"/>
      <c r="AM43" s="596" t="n"/>
      <c r="AN43" s="596" t="n"/>
      <c r="AO43" s="596" t="n"/>
      <c r="AP43" s="596" t="n"/>
      <c r="AQ43" s="596" t="n"/>
      <c r="AR43" s="596" t="n"/>
      <c r="AS43" s="596" t="n"/>
      <c r="AU43" s="594" t="n"/>
    </row>
    <row r="44" ht="17.25" customFormat="1" customHeight="1" s="499">
      <c r="A44" s="587" t="n"/>
      <c r="B44" s="584" t="n"/>
      <c r="C44" s="584" t="n"/>
      <c r="D44" s="595" t="n"/>
      <c r="E44" s="584" t="n"/>
      <c r="F44" s="596" t="n"/>
      <c r="G44" s="596" t="n"/>
      <c r="H44" s="596" t="n"/>
      <c r="I44" s="596" t="n"/>
      <c r="J44" s="596" t="n"/>
      <c r="K44" s="596" t="n"/>
      <c r="L44" s="596" t="n"/>
      <c r="M44" s="596" t="n"/>
      <c r="N44" s="596" t="n"/>
      <c r="O44" s="596" t="n"/>
      <c r="P44" s="596" t="n"/>
      <c r="Q44" s="596" t="n"/>
      <c r="R44" s="596" t="n"/>
      <c r="S44" s="596" t="n"/>
      <c r="T44" s="596" t="n"/>
      <c r="U44" s="596" t="n"/>
      <c r="V44" s="596" t="n"/>
      <c r="W44" s="596" t="n"/>
      <c r="X44" s="596" t="n"/>
      <c r="Y44" s="596" t="n"/>
      <c r="Z44" s="596" t="n"/>
      <c r="AA44" s="596" t="n"/>
      <c r="AB44" s="596" t="n"/>
      <c r="AC44" s="596" t="n"/>
      <c r="AD44" s="596" t="n"/>
      <c r="AE44" s="596" t="n"/>
      <c r="AF44" s="596" t="n"/>
      <c r="AG44" s="596" t="n"/>
      <c r="AH44" s="596" t="n"/>
      <c r="AI44" s="596" t="n"/>
      <c r="AJ44" s="596" t="n"/>
      <c r="AK44" s="596" t="n"/>
      <c r="AL44" s="596" t="n"/>
      <c r="AM44" s="596" t="n"/>
      <c r="AN44" s="596" t="n"/>
      <c r="AO44" s="596" t="n"/>
      <c r="AP44" s="596" t="n"/>
      <c r="AQ44" s="596" t="n"/>
      <c r="AR44" s="596" t="n"/>
      <c r="AS44" s="596" t="n"/>
      <c r="AU44" s="594" t="n"/>
    </row>
    <row r="45" ht="17.25" customFormat="1" customHeight="1" s="499">
      <c r="A45" s="587" t="n"/>
      <c r="B45" s="584" t="n"/>
      <c r="C45" s="584" t="n"/>
      <c r="D45" s="595" t="n"/>
      <c r="E45" s="584" t="n"/>
      <c r="F45" s="596" t="n"/>
      <c r="G45" s="596" t="n"/>
      <c r="H45" s="596" t="n"/>
      <c r="I45" s="596" t="n"/>
      <c r="J45" s="596" t="n"/>
      <c r="K45" s="596" t="n"/>
      <c r="L45" s="596" t="n"/>
      <c r="M45" s="596" t="n"/>
      <c r="N45" s="596" t="n"/>
      <c r="O45" s="596" t="n"/>
      <c r="P45" s="596" t="n"/>
      <c r="Q45" s="596" t="n"/>
      <c r="R45" s="596" t="n"/>
      <c r="S45" s="596" t="n"/>
      <c r="T45" s="596" t="n"/>
      <c r="U45" s="596" t="n"/>
      <c r="V45" s="596" t="n"/>
      <c r="W45" s="596" t="n"/>
      <c r="X45" s="596" t="n"/>
      <c r="Y45" s="596" t="n"/>
      <c r="Z45" s="596" t="n"/>
      <c r="AA45" s="596" t="n"/>
      <c r="AB45" s="596" t="n"/>
      <c r="AC45" s="596" t="n"/>
      <c r="AD45" s="596" t="n"/>
      <c r="AE45" s="596" t="n"/>
      <c r="AF45" s="596" t="n"/>
      <c r="AG45" s="596" t="n"/>
      <c r="AH45" s="596" t="n"/>
      <c r="AI45" s="596" t="n"/>
      <c r="AJ45" s="596" t="n"/>
      <c r="AK45" s="596" t="n"/>
      <c r="AL45" s="596" t="n"/>
      <c r="AM45" s="596" t="n"/>
      <c r="AN45" s="596" t="n"/>
      <c r="AO45" s="596" t="n"/>
      <c r="AP45" s="596" t="n"/>
      <c r="AQ45" s="596" t="n"/>
      <c r="AR45" s="596" t="n"/>
      <c r="AS45" s="596" t="n"/>
      <c r="AU45" s="594" t="n"/>
    </row>
    <row r="46" ht="18.75" customFormat="1" customHeight="1" s="499">
      <c r="A46" s="587" t="n"/>
      <c r="B46" s="584" t="n"/>
      <c r="C46" s="584" t="n"/>
      <c r="D46" s="595" t="n"/>
      <c r="E46" s="584" t="n"/>
      <c r="F46" s="596" t="n"/>
      <c r="G46" s="596" t="n"/>
      <c r="H46" s="596" t="n"/>
      <c r="I46" s="596" t="n"/>
      <c r="J46" s="596" t="n"/>
      <c r="K46" s="596" t="n"/>
      <c r="L46" s="596" t="n"/>
      <c r="M46" s="596" t="n"/>
      <c r="N46" s="596" t="n"/>
      <c r="O46" s="596" t="n"/>
      <c r="P46" s="596" t="n"/>
      <c r="Q46" s="596" t="n"/>
      <c r="R46" s="596" t="n"/>
      <c r="S46" s="596" t="n"/>
      <c r="T46" s="596" t="n"/>
      <c r="U46" s="596" t="n"/>
      <c r="V46" s="596" t="n"/>
      <c r="W46" s="596" t="n"/>
      <c r="X46" s="596" t="n"/>
      <c r="Y46" s="596" t="n"/>
      <c r="Z46" s="596" t="n"/>
      <c r="AA46" s="596" t="n"/>
      <c r="AB46" s="596" t="n"/>
      <c r="AC46" s="596" t="n"/>
      <c r="AD46" s="596" t="n"/>
      <c r="AE46" s="596" t="n"/>
      <c r="AF46" s="596" t="n"/>
      <c r="AG46" s="596" t="n"/>
      <c r="AH46" s="596" t="n"/>
      <c r="AI46" s="596" t="n"/>
      <c r="AJ46" s="596" t="n"/>
      <c r="AK46" s="596" t="n"/>
      <c r="AL46" s="596" t="n"/>
      <c r="AM46" s="596" t="n"/>
      <c r="AN46" s="596" t="n"/>
      <c r="AO46" s="596" t="n"/>
      <c r="AP46" s="596" t="n"/>
      <c r="AQ46" s="596" t="n"/>
      <c r="AR46" s="596" t="n"/>
      <c r="AS46" s="596" t="n"/>
      <c r="AU46" s="594" t="n"/>
    </row>
    <row r="47" ht="18.75" customFormat="1" customHeight="1" s="499">
      <c r="A47" s="587" t="n"/>
      <c r="B47" s="584" t="n"/>
      <c r="C47" s="584" t="n"/>
      <c r="D47" s="595" t="n"/>
      <c r="E47" s="584" t="n"/>
      <c r="F47" s="596" t="n"/>
      <c r="G47" s="596" t="n"/>
      <c r="H47" s="596" t="n"/>
      <c r="I47" s="596" t="n"/>
      <c r="J47" s="596" t="n"/>
      <c r="K47" s="596" t="n"/>
      <c r="L47" s="596" t="n"/>
      <c r="M47" s="596" t="n"/>
      <c r="N47" s="596" t="n"/>
      <c r="O47" s="596" t="n"/>
      <c r="P47" s="596" t="n"/>
      <c r="Q47" s="596" t="n"/>
      <c r="R47" s="596" t="n"/>
      <c r="S47" s="596" t="n"/>
      <c r="T47" s="596" t="n"/>
      <c r="U47" s="596" t="n"/>
      <c r="V47" s="596" t="n"/>
      <c r="W47" s="596" t="n"/>
      <c r="X47" s="596" t="n"/>
      <c r="Y47" s="596" t="n"/>
      <c r="Z47" s="596" t="n"/>
      <c r="AA47" s="596" t="n"/>
      <c r="AB47" s="596" t="n"/>
      <c r="AC47" s="596" t="n"/>
      <c r="AD47" s="596" t="n"/>
      <c r="AE47" s="596" t="n"/>
      <c r="AF47" s="596" t="n"/>
      <c r="AG47" s="596" t="n"/>
      <c r="AH47" s="596" t="n"/>
      <c r="AI47" s="596" t="n"/>
      <c r="AJ47" s="596" t="n"/>
      <c r="AK47" s="596" t="n"/>
      <c r="AL47" s="596" t="n"/>
      <c r="AM47" s="596" t="n"/>
      <c r="AN47" s="596" t="n"/>
      <c r="AO47" s="596" t="n"/>
      <c r="AP47" s="596" t="n"/>
      <c r="AQ47" s="596" t="n"/>
      <c r="AR47" s="596" t="n"/>
      <c r="AS47" s="596" t="n"/>
      <c r="AU47" s="594" t="n"/>
    </row>
    <row r="48" ht="15.4" customHeight="1" s="393">
      <c r="A48" s="587" t="n"/>
      <c r="B48" s="584" t="n"/>
      <c r="C48" s="584" t="n"/>
      <c r="D48" s="595" t="n"/>
      <c r="E48" s="584" t="n"/>
      <c r="F48" s="584" t="n"/>
      <c r="G48" s="584" t="n"/>
      <c r="H48" s="584" t="n"/>
      <c r="I48" s="584" t="n"/>
      <c r="J48" s="584" t="n"/>
      <c r="K48" s="584" t="n"/>
      <c r="L48" s="584" t="n"/>
      <c r="M48" s="584" t="n"/>
      <c r="N48" s="584" t="n"/>
      <c r="O48" s="584" t="n"/>
      <c r="P48" s="584" t="n"/>
      <c r="Q48" s="584" t="n"/>
      <c r="R48" s="584" t="n"/>
      <c r="S48" s="584" t="n"/>
      <c r="T48" s="584" t="n"/>
      <c r="U48" s="584" t="n"/>
      <c r="V48" s="584" t="n"/>
      <c r="W48" s="584" t="n"/>
      <c r="X48" s="584" t="n"/>
      <c r="Y48" s="584" t="n"/>
      <c r="Z48" s="584" t="n"/>
      <c r="AA48" s="584" t="n"/>
      <c r="AB48" s="584" t="n"/>
      <c r="AC48" s="584" t="n"/>
      <c r="AD48" s="584" t="n"/>
      <c r="AE48" s="584" t="n"/>
      <c r="AF48" s="584" t="n"/>
      <c r="AG48" s="584" t="n"/>
      <c r="AH48" s="584" t="n"/>
      <c r="AI48" s="584" t="n"/>
      <c r="AJ48" s="584" t="n"/>
      <c r="AK48" s="584" t="n"/>
      <c r="AL48" s="584" t="n"/>
      <c r="AM48" s="584" t="n"/>
      <c r="AN48" s="584" t="n"/>
      <c r="AO48" s="584" t="n"/>
      <c r="AP48" s="584" t="n"/>
      <c r="AQ48" s="584" t="n"/>
      <c r="AR48" s="584" t="n"/>
      <c r="AS48" s="584" t="n"/>
    </row>
    <row r="49" ht="15.4" customHeight="1" s="393">
      <c r="A49" s="587" t="n"/>
      <c r="B49" s="584" t="n"/>
      <c r="C49" s="584" t="n"/>
      <c r="D49" s="595" t="n"/>
      <c r="E49" s="584" t="n"/>
      <c r="F49" s="584" t="n"/>
      <c r="G49" s="584" t="n"/>
      <c r="H49" s="584" t="n"/>
      <c r="I49" s="584" t="n"/>
      <c r="J49" s="584" t="n"/>
      <c r="K49" s="584" t="n"/>
      <c r="L49" s="584" t="n"/>
      <c r="M49" s="584" t="n"/>
      <c r="N49" s="584" t="n"/>
      <c r="O49" s="584" t="n"/>
      <c r="P49" s="584" t="n"/>
      <c r="Q49" s="584" t="n"/>
      <c r="R49" s="584" t="n"/>
      <c r="S49" s="584" t="n"/>
      <c r="T49" s="584" t="n"/>
      <c r="U49" s="584" t="n"/>
      <c r="V49" s="584" t="n"/>
      <c r="W49" s="584" t="n"/>
      <c r="X49" s="584" t="n"/>
      <c r="Y49" s="584" t="n"/>
      <c r="Z49" s="584" t="n"/>
      <c r="AA49" s="584" t="n"/>
      <c r="AB49" s="584" t="n"/>
      <c r="AC49" s="584" t="n"/>
      <c r="AD49" s="584" t="n"/>
      <c r="AE49" s="584" t="n"/>
      <c r="AF49" s="584" t="n"/>
      <c r="AG49" s="584" t="n"/>
      <c r="AH49" s="584" t="n"/>
      <c r="AI49" s="584" t="n"/>
      <c r="AJ49" s="584" t="n"/>
      <c r="AK49" s="584" t="n"/>
      <c r="AL49" s="584" t="n"/>
      <c r="AM49" s="584" t="n"/>
      <c r="AN49" s="584" t="n"/>
      <c r="AO49" s="584" t="n"/>
      <c r="AP49" s="584" t="n"/>
      <c r="AQ49" s="584" t="n"/>
      <c r="AR49" s="584" t="n"/>
      <c r="AS49" s="584" t="n"/>
    </row>
    <row r="50" ht="15.4" customHeight="1" s="393">
      <c r="A50" s="587" t="n"/>
      <c r="B50" s="584" t="n"/>
      <c r="C50" s="584" t="n"/>
      <c r="D50" s="595" t="n"/>
      <c r="E50" s="584" t="n"/>
      <c r="F50" s="584" t="n"/>
      <c r="G50" s="584" t="n"/>
      <c r="H50" s="584" t="n"/>
      <c r="I50" s="584" t="n"/>
      <c r="J50" s="584" t="n"/>
      <c r="K50" s="584" t="n"/>
      <c r="L50" s="584" t="n"/>
      <c r="M50" s="584" t="n"/>
      <c r="N50" s="584" t="n"/>
      <c r="O50" s="584" t="n"/>
      <c r="P50" s="584" t="n"/>
      <c r="Q50" s="584" t="n"/>
      <c r="R50" s="584" t="n"/>
      <c r="S50" s="584" t="n"/>
      <c r="T50" s="584" t="n"/>
      <c r="U50" s="584" t="n"/>
      <c r="V50" s="584" t="n"/>
      <c r="W50" s="584" t="n"/>
      <c r="X50" s="584" t="n"/>
      <c r="Y50" s="584" t="n"/>
      <c r="Z50" s="584" t="n"/>
      <c r="AA50" s="584" t="n"/>
      <c r="AB50" s="584" t="n"/>
      <c r="AC50" s="584" t="n"/>
      <c r="AD50" s="584" t="n"/>
      <c r="AE50" s="584" t="n"/>
      <c r="AF50" s="584" t="n"/>
      <c r="AG50" s="584" t="n"/>
      <c r="AH50" s="584" t="n"/>
      <c r="AI50" s="584" t="n"/>
      <c r="AJ50" s="584" t="n"/>
      <c r="AK50" s="584" t="n"/>
      <c r="AL50" s="584" t="n"/>
      <c r="AM50" s="584" t="n"/>
      <c r="AN50" s="584" t="n"/>
      <c r="AO50" s="584" t="n"/>
      <c r="AP50" s="584" t="n"/>
      <c r="AQ50" s="584" t="n"/>
      <c r="AR50" s="584" t="n"/>
      <c r="AS50" s="584" t="n"/>
    </row>
    <row r="51" ht="15.4" customHeight="1" s="393">
      <c r="A51" s="587" t="n"/>
      <c r="B51" s="584" t="n"/>
      <c r="C51" s="584" t="n"/>
      <c r="D51" s="595" t="n"/>
      <c r="E51" s="584" t="n"/>
      <c r="F51" s="584" t="n"/>
      <c r="G51" s="584" t="n"/>
      <c r="H51" s="584" t="n"/>
      <c r="I51" s="584" t="n"/>
      <c r="J51" s="584" t="n"/>
      <c r="K51" s="584" t="n"/>
      <c r="L51" s="584" t="n"/>
      <c r="M51" s="584" t="n"/>
      <c r="N51" s="584" t="n"/>
      <c r="O51" s="584" t="n"/>
      <c r="P51" s="584" t="n"/>
      <c r="Q51" s="584" t="n"/>
      <c r="R51" s="584" t="n"/>
      <c r="S51" s="584" t="n"/>
      <c r="T51" s="584" t="n"/>
      <c r="U51" s="584" t="n"/>
      <c r="V51" s="584" t="n"/>
      <c r="W51" s="584" t="n"/>
      <c r="X51" s="584" t="n"/>
      <c r="Y51" s="584" t="n"/>
      <c r="Z51" s="584" t="n"/>
      <c r="AA51" s="584" t="n"/>
      <c r="AB51" s="584" t="n"/>
      <c r="AC51" s="584" t="n"/>
      <c r="AD51" s="584" t="n"/>
      <c r="AE51" s="584" t="n"/>
      <c r="AF51" s="584" t="n"/>
      <c r="AG51" s="584" t="n"/>
      <c r="AH51" s="584" t="n"/>
      <c r="AI51" s="584" t="n"/>
      <c r="AJ51" s="584" t="n"/>
      <c r="AK51" s="584" t="n"/>
      <c r="AL51" s="584" t="n"/>
      <c r="AM51" s="584" t="n"/>
      <c r="AN51" s="584" t="n"/>
      <c r="AO51" s="584" t="n"/>
      <c r="AP51" s="584" t="n"/>
      <c r="AQ51" s="584" t="n"/>
      <c r="AR51" s="584" t="n"/>
      <c r="AS51" s="584" t="n"/>
    </row>
    <row r="52" ht="15.4" customHeight="1" s="393">
      <c r="A52" s="587" t="n"/>
      <c r="B52" s="584" t="n"/>
      <c r="C52" s="584" t="n"/>
      <c r="D52" s="595" t="n"/>
      <c r="E52" s="584" t="n"/>
      <c r="F52" s="584" t="n"/>
      <c r="G52" s="584" t="n"/>
      <c r="H52" s="584" t="n"/>
      <c r="I52" s="584" t="n"/>
      <c r="J52" s="584" t="n"/>
      <c r="K52" s="584" t="n"/>
      <c r="L52" s="584" t="n"/>
      <c r="M52" s="584" t="n"/>
      <c r="N52" s="584" t="n"/>
      <c r="O52" s="584" t="n"/>
      <c r="P52" s="584" t="n"/>
      <c r="Q52" s="584" t="n"/>
      <c r="R52" s="584" t="n"/>
      <c r="S52" s="584" t="n"/>
      <c r="T52" s="584" t="n"/>
      <c r="U52" s="584" t="n"/>
      <c r="V52" s="584" t="n"/>
      <c r="W52" s="584" t="n"/>
      <c r="X52" s="584" t="n"/>
      <c r="Y52" s="584" t="n"/>
      <c r="Z52" s="584" t="n"/>
      <c r="AA52" s="584" t="n"/>
      <c r="AB52" s="584" t="n"/>
      <c r="AC52" s="584" t="n"/>
      <c r="AD52" s="584" t="n"/>
      <c r="AE52" s="584" t="n"/>
      <c r="AF52" s="584" t="n"/>
      <c r="AG52" s="584" t="n"/>
      <c r="AH52" s="584" t="n"/>
      <c r="AI52" s="584" t="n"/>
      <c r="AJ52" s="584" t="n"/>
      <c r="AK52" s="584" t="n"/>
      <c r="AL52" s="584" t="n"/>
      <c r="AM52" s="584" t="n"/>
      <c r="AN52" s="584" t="n"/>
      <c r="AO52" s="584" t="n"/>
      <c r="AP52" s="584" t="n"/>
      <c r="AQ52" s="584" t="n"/>
      <c r="AR52" s="584" t="n"/>
      <c r="AS52" s="584" t="n"/>
    </row>
    <row r="53" ht="15.4" customHeight="1" s="393">
      <c r="A53" s="587" t="n"/>
      <c r="B53" s="584" t="n"/>
      <c r="C53" s="584" t="n"/>
      <c r="D53" s="595" t="n"/>
      <c r="E53" s="584" t="n"/>
      <c r="F53" s="584" t="n"/>
      <c r="G53" s="584" t="n"/>
      <c r="H53" s="584" t="n"/>
      <c r="I53" s="584" t="n"/>
      <c r="J53" s="584" t="n"/>
      <c r="K53" s="584" t="n"/>
      <c r="L53" s="584" t="n"/>
      <c r="M53" s="584" t="n"/>
      <c r="N53" s="584" t="n"/>
      <c r="O53" s="584" t="n"/>
      <c r="P53" s="584" t="n"/>
      <c r="Q53" s="584" t="n"/>
      <c r="R53" s="584" t="n"/>
      <c r="S53" s="584" t="n"/>
      <c r="T53" s="584" t="n"/>
      <c r="U53" s="584" t="n"/>
      <c r="V53" s="584" t="n"/>
      <c r="W53" s="584" t="n"/>
      <c r="X53" s="584" t="n"/>
      <c r="Y53" s="584" t="n"/>
      <c r="Z53" s="584" t="n"/>
      <c r="AA53" s="584" t="n"/>
      <c r="AB53" s="584" t="n"/>
      <c r="AC53" s="584" t="n"/>
      <c r="AD53" s="584" t="n"/>
      <c r="AE53" s="584" t="n"/>
      <c r="AF53" s="584" t="n"/>
      <c r="AG53" s="584" t="n"/>
      <c r="AH53" s="584" t="n"/>
      <c r="AI53" s="584" t="n"/>
      <c r="AJ53" s="584" t="n"/>
      <c r="AK53" s="584" t="n"/>
      <c r="AL53" s="584" t="n"/>
      <c r="AM53" s="584" t="n"/>
      <c r="AN53" s="584" t="n"/>
      <c r="AO53" s="584" t="n"/>
      <c r="AP53" s="584" t="n"/>
      <c r="AQ53" s="584" t="n"/>
      <c r="AR53" s="584" t="n"/>
      <c r="AS53" s="584" t="n"/>
    </row>
    <row r="54" ht="15.4" customHeight="1" s="393">
      <c r="A54" s="587" t="n"/>
      <c r="B54" s="584" t="n"/>
      <c r="C54" s="584" t="n"/>
      <c r="D54" s="595" t="n"/>
      <c r="E54" s="584" t="n"/>
      <c r="F54" s="584" t="n"/>
      <c r="G54" s="584" t="n"/>
      <c r="H54" s="584" t="n"/>
      <c r="I54" s="584" t="n"/>
      <c r="J54" s="584" t="n"/>
      <c r="K54" s="584" t="n"/>
      <c r="L54" s="584" t="n"/>
      <c r="M54" s="584" t="n"/>
      <c r="N54" s="584" t="n"/>
      <c r="O54" s="584" t="n"/>
      <c r="P54" s="584" t="n"/>
      <c r="Q54" s="584" t="n"/>
      <c r="R54" s="584" t="n"/>
      <c r="S54" s="584" t="n"/>
      <c r="T54" s="584" t="n"/>
      <c r="U54" s="584" t="n"/>
      <c r="V54" s="584" t="n"/>
      <c r="W54" s="584" t="n"/>
      <c r="X54" s="584" t="n"/>
      <c r="Y54" s="584" t="n"/>
      <c r="Z54" s="584" t="n"/>
      <c r="AA54" s="584" t="n"/>
      <c r="AB54" s="584" t="n"/>
      <c r="AC54" s="584" t="n"/>
      <c r="AD54" s="584" t="n"/>
      <c r="AE54" s="584" t="n"/>
      <c r="AF54" s="584" t="n"/>
      <c r="AG54" s="584" t="n"/>
      <c r="AH54" s="584" t="n"/>
      <c r="AI54" s="584" t="n"/>
      <c r="AJ54" s="584" t="n"/>
      <c r="AK54" s="584" t="n"/>
      <c r="AL54" s="584" t="n"/>
      <c r="AM54" s="584" t="n"/>
      <c r="AN54" s="584" t="n"/>
      <c r="AO54" s="584" t="n"/>
      <c r="AP54" s="584" t="n"/>
      <c r="AQ54" s="584" t="n"/>
      <c r="AR54" s="584" t="n"/>
      <c r="AS54" s="584" t="n"/>
    </row>
    <row r="55" ht="15.4" customHeight="1" s="393">
      <c r="A55" s="587" t="n"/>
      <c r="B55" s="584" t="n"/>
      <c r="C55" s="584" t="n"/>
      <c r="D55" s="595" t="n"/>
      <c r="E55" s="584" t="n"/>
      <c r="F55" s="584" t="n"/>
      <c r="G55" s="584" t="n"/>
      <c r="H55" s="584" t="n"/>
      <c r="I55" s="584" t="n"/>
      <c r="J55" s="584" t="n"/>
      <c r="K55" s="584" t="n"/>
      <c r="L55" s="584" t="n"/>
      <c r="M55" s="584" t="n"/>
      <c r="N55" s="584" t="n"/>
      <c r="O55" s="584" t="n"/>
      <c r="P55" s="584" t="n"/>
      <c r="Q55" s="584" t="n"/>
      <c r="R55" s="584" t="n"/>
      <c r="S55" s="584" t="n"/>
      <c r="T55" s="584" t="n"/>
      <c r="U55" s="584" t="n"/>
      <c r="V55" s="584" t="n"/>
      <c r="W55" s="584" t="n"/>
      <c r="X55" s="584" t="n"/>
      <c r="Y55" s="584" t="n"/>
      <c r="Z55" s="584" t="n"/>
      <c r="AA55" s="584" t="n"/>
      <c r="AB55" s="584" t="n"/>
      <c r="AC55" s="584" t="n"/>
      <c r="AD55" s="584" t="n"/>
      <c r="AE55" s="584" t="n"/>
      <c r="AF55" s="584" t="n"/>
      <c r="AG55" s="584" t="n"/>
      <c r="AH55" s="584" t="n"/>
      <c r="AI55" s="584" t="n"/>
      <c r="AJ55" s="584" t="n"/>
      <c r="AK55" s="584" t="n"/>
      <c r="AL55" s="584" t="n"/>
      <c r="AM55" s="584" t="n"/>
      <c r="AN55" s="584" t="n"/>
      <c r="AO55" s="584" t="n"/>
      <c r="AP55" s="584" t="n"/>
      <c r="AQ55" s="584" t="n"/>
      <c r="AR55" s="584" t="n"/>
      <c r="AS55" s="584" t="n"/>
    </row>
    <row r="56" ht="15.4" customHeight="1" s="393">
      <c r="A56" s="587" t="n"/>
      <c r="B56" s="584" t="n"/>
      <c r="C56" s="584" t="n"/>
      <c r="D56" s="595" t="n"/>
      <c r="E56" s="584" t="n"/>
      <c r="F56" s="584" t="n"/>
      <c r="G56" s="584" t="n"/>
      <c r="H56" s="584" t="n"/>
      <c r="I56" s="584" t="n"/>
      <c r="J56" s="584" t="n"/>
      <c r="K56" s="584" t="n"/>
      <c r="L56" s="584" t="n"/>
      <c r="M56" s="584" t="n"/>
      <c r="N56" s="584" t="n"/>
      <c r="O56" s="584" t="n"/>
      <c r="P56" s="584" t="n"/>
      <c r="Q56" s="584" t="n"/>
      <c r="R56" s="584" t="n"/>
      <c r="S56" s="584" t="n"/>
      <c r="T56" s="584" t="n"/>
      <c r="U56" s="584" t="n"/>
      <c r="V56" s="584" t="n"/>
      <c r="W56" s="584" t="n"/>
      <c r="X56" s="584" t="n"/>
      <c r="Y56" s="584" t="n"/>
      <c r="Z56" s="584" t="n"/>
      <c r="AA56" s="584" t="n"/>
      <c r="AB56" s="584" t="n"/>
      <c r="AC56" s="584" t="n"/>
      <c r="AD56" s="584" t="n"/>
      <c r="AE56" s="584" t="n"/>
      <c r="AF56" s="584" t="n"/>
      <c r="AG56" s="584" t="n"/>
      <c r="AH56" s="584" t="n"/>
      <c r="AI56" s="584" t="n"/>
      <c r="AJ56" s="584" t="n"/>
      <c r="AK56" s="584" t="n"/>
      <c r="AL56" s="584" t="n"/>
      <c r="AM56" s="584" t="n"/>
      <c r="AN56" s="584" t="n"/>
      <c r="AO56" s="584" t="n"/>
      <c r="AP56" s="584" t="n"/>
      <c r="AQ56" s="584" t="n"/>
      <c r="AR56" s="584" t="n"/>
      <c r="AS56" s="584" t="n"/>
    </row>
    <row r="57" ht="15.4" customHeight="1" s="393">
      <c r="A57" s="587" t="n"/>
      <c r="B57" s="584" t="n"/>
      <c r="C57" s="584" t="n"/>
      <c r="D57" s="595" t="n"/>
      <c r="E57" s="584" t="n"/>
      <c r="F57" s="584" t="n"/>
      <c r="G57" s="584" t="n"/>
      <c r="H57" s="584" t="n"/>
      <c r="I57" s="584" t="n"/>
      <c r="J57" s="584" t="n"/>
      <c r="K57" s="584" t="n"/>
      <c r="L57" s="584" t="n"/>
      <c r="M57" s="584" t="n"/>
      <c r="N57" s="584" t="n"/>
      <c r="O57" s="584" t="n"/>
      <c r="P57" s="584" t="n"/>
      <c r="Q57" s="584" t="n"/>
      <c r="R57" s="584" t="n"/>
      <c r="S57" s="584" t="n"/>
      <c r="T57" s="584" t="n"/>
      <c r="U57" s="584" t="n"/>
      <c r="V57" s="584" t="n"/>
      <c r="W57" s="584" t="n"/>
      <c r="X57" s="584" t="n"/>
      <c r="Y57" s="584" t="n"/>
      <c r="Z57" s="584" t="n"/>
      <c r="AA57" s="584" t="n"/>
      <c r="AB57" s="584" t="n"/>
      <c r="AC57" s="584" t="n"/>
      <c r="AD57" s="584" t="n"/>
      <c r="AE57" s="584" t="n"/>
      <c r="AF57" s="584" t="n"/>
      <c r="AG57" s="584" t="n"/>
      <c r="AH57" s="584" t="n"/>
      <c r="AI57" s="584" t="n"/>
      <c r="AJ57" s="584" t="n"/>
      <c r="AK57" s="584" t="n"/>
      <c r="AL57" s="584" t="n"/>
      <c r="AM57" s="584" t="n"/>
      <c r="AN57" s="584" t="n"/>
      <c r="AO57" s="584" t="n"/>
      <c r="AP57" s="584" t="n"/>
      <c r="AQ57" s="584" t="n"/>
      <c r="AR57" s="584" t="n"/>
      <c r="AS57" s="584" t="n"/>
    </row>
    <row r="58" ht="15.4" customHeight="1" s="393">
      <c r="A58" s="587" t="n"/>
      <c r="B58" s="584" t="n"/>
      <c r="C58" s="584" t="n"/>
      <c r="D58" s="595" t="n"/>
      <c r="E58" s="584" t="n"/>
      <c r="F58" s="584" t="n"/>
      <c r="G58" s="584" t="n"/>
      <c r="H58" s="584" t="n"/>
      <c r="I58" s="584" t="n"/>
      <c r="J58" s="584" t="n"/>
      <c r="K58" s="584" t="n"/>
      <c r="L58" s="584" t="n"/>
      <c r="M58" s="584" t="n"/>
      <c r="N58" s="584" t="n"/>
      <c r="O58" s="584" t="n"/>
      <c r="P58" s="584" t="n"/>
      <c r="Q58" s="584" t="n"/>
      <c r="R58" s="584" t="n"/>
      <c r="S58" s="584" t="n"/>
      <c r="T58" s="584" t="n"/>
      <c r="U58" s="584" t="n"/>
      <c r="V58" s="584" t="n"/>
      <c r="W58" s="584" t="n"/>
      <c r="X58" s="584" t="n"/>
      <c r="Y58" s="584" t="n"/>
      <c r="Z58" s="584" t="n"/>
      <c r="AA58" s="584" t="n"/>
      <c r="AB58" s="584" t="n"/>
      <c r="AC58" s="584" t="n"/>
      <c r="AD58" s="584" t="n"/>
      <c r="AE58" s="584" t="n"/>
      <c r="AF58" s="584" t="n"/>
      <c r="AG58" s="584" t="n"/>
      <c r="AH58" s="584" t="n"/>
      <c r="AI58" s="584" t="n"/>
      <c r="AJ58" s="584" t="n"/>
      <c r="AK58" s="584" t="n"/>
      <c r="AL58" s="584" t="n"/>
      <c r="AM58" s="584" t="n"/>
      <c r="AN58" s="584" t="n"/>
      <c r="AO58" s="584" t="n"/>
      <c r="AP58" s="584" t="n"/>
      <c r="AQ58" s="584" t="n"/>
      <c r="AR58" s="584" t="n"/>
      <c r="AS58" s="584" t="n"/>
    </row>
    <row r="59" ht="15.4" customHeight="1" s="393">
      <c r="A59" s="587" t="n"/>
      <c r="B59" s="584" t="n"/>
      <c r="C59" s="584" t="n"/>
      <c r="D59" s="595" t="n"/>
      <c r="E59" s="584" t="n"/>
      <c r="F59" s="584" t="n"/>
      <c r="G59" s="584" t="n"/>
      <c r="H59" s="584" t="n"/>
      <c r="I59" s="584" t="n"/>
      <c r="J59" s="584" t="n"/>
      <c r="K59" s="584" t="n"/>
      <c r="L59" s="584" t="n"/>
      <c r="M59" s="584" t="n"/>
      <c r="N59" s="584" t="n"/>
      <c r="O59" s="584" t="n"/>
      <c r="P59" s="584" t="n"/>
      <c r="Q59" s="584" t="n"/>
      <c r="R59" s="584" t="n"/>
      <c r="S59" s="584" t="n"/>
      <c r="T59" s="584" t="n"/>
      <c r="U59" s="584" t="n"/>
      <c r="V59" s="584" t="n"/>
      <c r="W59" s="584" t="n"/>
      <c r="X59" s="584" t="n"/>
      <c r="Y59" s="584" t="n"/>
      <c r="Z59" s="584" t="n"/>
      <c r="AA59" s="584" t="n"/>
      <c r="AB59" s="584" t="n"/>
      <c r="AC59" s="584" t="n"/>
      <c r="AD59" s="584" t="n"/>
      <c r="AE59" s="584" t="n"/>
      <c r="AF59" s="584" t="n"/>
      <c r="AG59" s="584" t="n"/>
      <c r="AH59" s="584" t="n"/>
      <c r="AI59" s="584" t="n"/>
      <c r="AJ59" s="584" t="n"/>
      <c r="AK59" s="584" t="n"/>
      <c r="AL59" s="584" t="n"/>
      <c r="AM59" s="584" t="n"/>
      <c r="AN59" s="584" t="n"/>
      <c r="AO59" s="584" t="n"/>
      <c r="AP59" s="584" t="n"/>
      <c r="AQ59" s="584" t="n"/>
      <c r="AR59" s="584" t="n"/>
      <c r="AS59" s="584" t="n"/>
    </row>
    <row r="60" ht="15.4" customHeight="1" s="393">
      <c r="A60" s="587" t="n"/>
      <c r="B60" s="584" t="n"/>
      <c r="C60" s="584" t="n"/>
      <c r="D60" s="595" t="n"/>
      <c r="E60" s="584" t="n"/>
      <c r="F60" s="584" t="n"/>
      <c r="G60" s="584" t="n"/>
      <c r="H60" s="584" t="n"/>
      <c r="I60" s="584" t="n"/>
      <c r="J60" s="584" t="n"/>
      <c r="K60" s="584" t="n"/>
      <c r="L60" s="584" t="n"/>
      <c r="M60" s="584" t="n"/>
      <c r="N60" s="584" t="n"/>
      <c r="O60" s="584" t="n"/>
      <c r="P60" s="584" t="n"/>
      <c r="Q60" s="584" t="n"/>
      <c r="R60" s="584" t="n"/>
      <c r="S60" s="584" t="n"/>
      <c r="T60" s="584" t="n"/>
      <c r="U60" s="584" t="n"/>
      <c r="V60" s="584" t="n"/>
      <c r="W60" s="584" t="n"/>
      <c r="X60" s="584" t="n"/>
      <c r="Y60" s="584" t="n"/>
      <c r="Z60" s="584" t="n"/>
      <c r="AA60" s="584" t="n"/>
      <c r="AB60" s="584" t="n"/>
      <c r="AC60" s="584" t="n"/>
      <c r="AD60" s="584" t="n"/>
      <c r="AE60" s="584" t="n"/>
      <c r="AF60" s="584" t="n"/>
      <c r="AG60" s="584" t="n"/>
      <c r="AH60" s="584" t="n"/>
      <c r="AI60" s="584" t="n"/>
      <c r="AJ60" s="584" t="n"/>
      <c r="AK60" s="584" t="n"/>
      <c r="AL60" s="584" t="n"/>
      <c r="AM60" s="584" t="n"/>
      <c r="AN60" s="584" t="n"/>
      <c r="AO60" s="584" t="n"/>
      <c r="AP60" s="584" t="n"/>
      <c r="AQ60" s="584" t="n"/>
      <c r="AR60" s="584" t="n"/>
      <c r="AS60" s="584" t="n"/>
    </row>
    <row r="61" ht="15.4" customHeight="1" s="393">
      <c r="A61" s="587" t="n"/>
      <c r="B61" s="584" t="n"/>
      <c r="C61" s="584" t="n"/>
      <c r="D61" s="595" t="n"/>
      <c r="E61" s="584" t="n"/>
      <c r="F61" s="584" t="n"/>
      <c r="G61" s="584" t="n"/>
      <c r="H61" s="584" t="n"/>
      <c r="I61" s="584" t="n"/>
      <c r="J61" s="584" t="n"/>
      <c r="K61" s="584" t="n"/>
      <c r="L61" s="584" t="n"/>
      <c r="M61" s="584" t="n"/>
      <c r="N61" s="584" t="n"/>
      <c r="O61" s="584" t="n"/>
      <c r="P61" s="584" t="n"/>
      <c r="Q61" s="584" t="n"/>
      <c r="R61" s="584" t="n"/>
      <c r="S61" s="584" t="n"/>
      <c r="T61" s="584" t="n"/>
      <c r="U61" s="584" t="n"/>
      <c r="V61" s="584" t="n"/>
      <c r="W61" s="584" t="n"/>
      <c r="X61" s="584" t="n"/>
      <c r="Y61" s="584" t="n"/>
      <c r="Z61" s="584" t="n"/>
      <c r="AA61" s="584" t="n"/>
      <c r="AB61" s="584" t="n"/>
      <c r="AC61" s="584" t="n"/>
      <c r="AD61" s="584" t="n"/>
      <c r="AE61" s="584" t="n"/>
      <c r="AF61" s="584" t="n"/>
      <c r="AG61" s="584" t="n"/>
      <c r="AH61" s="584" t="n"/>
      <c r="AI61" s="584" t="n"/>
      <c r="AJ61" s="584" t="n"/>
      <c r="AK61" s="584" t="n"/>
      <c r="AL61" s="584" t="n"/>
      <c r="AM61" s="584" t="n"/>
      <c r="AN61" s="584" t="n"/>
      <c r="AO61" s="584" t="n"/>
      <c r="AP61" s="584" t="n"/>
      <c r="AQ61" s="584" t="n"/>
      <c r="AR61" s="584" t="n"/>
      <c r="AS61" s="584" t="n"/>
    </row>
    <row r="62" ht="15.4" customHeight="1" s="393">
      <c r="A62" s="587" t="n"/>
      <c r="B62" s="584" t="n"/>
      <c r="C62" s="584" t="n"/>
      <c r="D62" s="595" t="n"/>
      <c r="E62" s="584" t="n"/>
      <c r="F62" s="584" t="n"/>
      <c r="G62" s="584" t="n"/>
      <c r="H62" s="584" t="n"/>
      <c r="I62" s="584" t="n"/>
      <c r="J62" s="584" t="n"/>
      <c r="K62" s="584" t="n"/>
      <c r="L62" s="584" t="n"/>
      <c r="M62" s="584" t="n"/>
      <c r="N62" s="584" t="n"/>
      <c r="O62" s="584" t="n"/>
      <c r="P62" s="584" t="n"/>
      <c r="Q62" s="584" t="n"/>
      <c r="R62" s="584" t="n"/>
      <c r="S62" s="584" t="n"/>
      <c r="T62" s="584" t="n"/>
      <c r="U62" s="584" t="n"/>
      <c r="V62" s="584" t="n"/>
      <c r="W62" s="584" t="n"/>
      <c r="X62" s="584" t="n"/>
      <c r="Y62" s="584" t="n"/>
      <c r="Z62" s="584" t="n"/>
      <c r="AA62" s="584" t="n"/>
      <c r="AB62" s="584" t="n"/>
      <c r="AC62" s="584" t="n"/>
      <c r="AD62" s="584" t="n"/>
      <c r="AE62" s="584" t="n"/>
      <c r="AF62" s="584" t="n"/>
      <c r="AG62" s="584" t="n"/>
      <c r="AH62" s="584" t="n"/>
      <c r="AI62" s="584" t="n"/>
      <c r="AJ62" s="584" t="n"/>
      <c r="AK62" s="584" t="n"/>
      <c r="AL62" s="584" t="n"/>
      <c r="AM62" s="584" t="n"/>
      <c r="AN62" s="584" t="n"/>
      <c r="AO62" s="584" t="n"/>
      <c r="AP62" s="584" t="n"/>
      <c r="AQ62" s="584" t="n"/>
      <c r="AR62" s="584" t="n"/>
      <c r="AS62" s="584" t="n"/>
    </row>
    <row r="63" ht="15.4" customHeight="1" s="393">
      <c r="A63" s="587" t="n"/>
      <c r="B63" s="584" t="n"/>
      <c r="C63" s="584" t="n"/>
      <c r="D63" s="595" t="n"/>
      <c r="E63" s="584" t="n"/>
      <c r="F63" s="584" t="n"/>
      <c r="G63" s="584" t="n"/>
      <c r="H63" s="584" t="n"/>
      <c r="I63" s="584" t="n"/>
      <c r="J63" s="584" t="n"/>
      <c r="K63" s="584" t="n"/>
      <c r="L63" s="584" t="n"/>
      <c r="M63" s="584" t="n"/>
      <c r="N63" s="584" t="n"/>
      <c r="O63" s="584" t="n"/>
      <c r="P63" s="584" t="n"/>
      <c r="Q63" s="584" t="n"/>
      <c r="R63" s="584" t="n"/>
      <c r="S63" s="584" t="n"/>
      <c r="T63" s="584" t="n"/>
      <c r="U63" s="584" t="n"/>
      <c r="V63" s="584" t="n"/>
      <c r="W63" s="584" t="n"/>
      <c r="X63" s="584" t="n"/>
      <c r="Y63" s="584" t="n"/>
      <c r="Z63" s="584" t="n"/>
      <c r="AA63" s="584" t="n"/>
      <c r="AB63" s="584" t="n"/>
      <c r="AC63" s="584" t="n"/>
      <c r="AD63" s="584" t="n"/>
      <c r="AE63" s="584" t="n"/>
      <c r="AF63" s="584" t="n"/>
      <c r="AG63" s="584" t="n"/>
      <c r="AH63" s="584" t="n"/>
      <c r="AI63" s="584" t="n"/>
      <c r="AJ63" s="584" t="n"/>
      <c r="AK63" s="584" t="n"/>
      <c r="AL63" s="584" t="n"/>
      <c r="AM63" s="584" t="n"/>
      <c r="AN63" s="584" t="n"/>
      <c r="AO63" s="584" t="n"/>
      <c r="AP63" s="584" t="n"/>
      <c r="AQ63" s="584" t="n"/>
      <c r="AR63" s="584" t="n"/>
      <c r="AS63" s="584" t="n"/>
    </row>
    <row r="64" ht="15.4" customHeight="1" s="393">
      <c r="A64" s="587" t="n"/>
      <c r="B64" s="584" t="n"/>
      <c r="C64" s="584" t="n"/>
      <c r="D64" s="595" t="n"/>
      <c r="E64" s="584" t="n"/>
      <c r="F64" s="584" t="n"/>
      <c r="G64" s="584" t="n"/>
      <c r="H64" s="584" t="n"/>
      <c r="I64" s="584" t="n"/>
      <c r="J64" s="584" t="n"/>
      <c r="K64" s="584" t="n"/>
      <c r="L64" s="584" t="n"/>
      <c r="M64" s="584" t="n"/>
      <c r="N64" s="584" t="n"/>
      <c r="O64" s="584" t="n"/>
      <c r="P64" s="584" t="n"/>
      <c r="Q64" s="584" t="n"/>
      <c r="R64" s="584" t="n"/>
      <c r="S64" s="584" t="n"/>
      <c r="T64" s="584" t="n"/>
      <c r="U64" s="584" t="n"/>
      <c r="V64" s="584" t="n"/>
      <c r="W64" s="584" t="n"/>
      <c r="X64" s="584" t="n"/>
      <c r="Y64" s="584" t="n"/>
      <c r="Z64" s="584" t="n"/>
      <c r="AA64" s="584" t="n"/>
      <c r="AB64" s="584" t="n"/>
      <c r="AC64" s="584" t="n"/>
      <c r="AD64" s="584" t="n"/>
      <c r="AE64" s="584" t="n"/>
      <c r="AF64" s="584" t="n"/>
      <c r="AG64" s="584" t="n"/>
      <c r="AH64" s="584" t="n"/>
      <c r="AI64" s="584" t="n"/>
      <c r="AJ64" s="584" t="n"/>
      <c r="AK64" s="584" t="n"/>
      <c r="AL64" s="584" t="n"/>
      <c r="AM64" s="584" t="n"/>
      <c r="AN64" s="584" t="n"/>
      <c r="AO64" s="584" t="n"/>
      <c r="AP64" s="584" t="n"/>
      <c r="AQ64" s="584" t="n"/>
      <c r="AR64" s="584" t="n"/>
      <c r="AS64" s="584" t="n"/>
    </row>
    <row r="65" ht="15.4" customHeight="1" s="393">
      <c r="A65" s="587" t="n"/>
      <c r="B65" s="584" t="n"/>
      <c r="C65" s="584" t="n"/>
      <c r="D65" s="595" t="n"/>
      <c r="E65" s="584" t="n"/>
      <c r="F65" s="584" t="n"/>
      <c r="G65" s="584" t="n"/>
      <c r="H65" s="584" t="n"/>
      <c r="I65" s="584" t="n"/>
      <c r="J65" s="584" t="n"/>
      <c r="K65" s="584" t="n"/>
      <c r="L65" s="584" t="n"/>
      <c r="M65" s="584" t="n"/>
      <c r="N65" s="584" t="n"/>
      <c r="O65" s="584" t="n"/>
      <c r="P65" s="584" t="n"/>
      <c r="Q65" s="584" t="n"/>
      <c r="R65" s="584" t="n"/>
      <c r="S65" s="584" t="n"/>
      <c r="T65" s="584" t="n"/>
      <c r="U65" s="584" t="n"/>
      <c r="V65" s="584" t="n"/>
      <c r="W65" s="584" t="n"/>
      <c r="X65" s="584" t="n"/>
      <c r="Y65" s="584" t="n"/>
      <c r="Z65" s="584" t="n"/>
      <c r="AA65" s="584" t="n"/>
      <c r="AB65" s="584" t="n"/>
      <c r="AC65" s="584" t="n"/>
      <c r="AD65" s="584" t="n"/>
      <c r="AE65" s="584" t="n"/>
      <c r="AF65" s="584" t="n"/>
      <c r="AG65" s="584" t="n"/>
      <c r="AH65" s="584" t="n"/>
      <c r="AI65" s="584" t="n"/>
      <c r="AJ65" s="584" t="n"/>
      <c r="AK65" s="584" t="n"/>
      <c r="AL65" s="584" t="n"/>
      <c r="AM65" s="584" t="n"/>
      <c r="AN65" s="584" t="n"/>
      <c r="AO65" s="584" t="n"/>
      <c r="AP65" s="584" t="n"/>
      <c r="AQ65" s="584" t="n"/>
      <c r="AR65" s="584" t="n"/>
      <c r="AS65" s="584" t="n"/>
    </row>
    <row r="66" ht="15.4" customHeight="1" s="393">
      <c r="A66" s="587" t="n"/>
      <c r="B66" s="584" t="n"/>
      <c r="C66" s="584" t="n"/>
      <c r="D66" s="595" t="n"/>
      <c r="E66" s="584" t="n"/>
      <c r="F66" s="584" t="n"/>
      <c r="G66" s="584" t="n"/>
      <c r="H66" s="584" t="n"/>
      <c r="I66" s="584" t="n"/>
      <c r="J66" s="584" t="n"/>
      <c r="K66" s="584" t="n"/>
      <c r="L66" s="584" t="n"/>
      <c r="M66" s="584" t="n"/>
      <c r="N66" s="584" t="n"/>
      <c r="O66" s="584" t="n"/>
      <c r="P66" s="584" t="n"/>
      <c r="Q66" s="584" t="n"/>
      <c r="R66" s="584" t="n"/>
      <c r="S66" s="584" t="n"/>
      <c r="T66" s="584" t="n"/>
      <c r="U66" s="584" t="n"/>
      <c r="V66" s="584" t="n"/>
      <c r="W66" s="584" t="n"/>
      <c r="X66" s="584" t="n"/>
      <c r="Y66" s="584" t="n"/>
      <c r="Z66" s="584" t="n"/>
      <c r="AA66" s="584" t="n"/>
      <c r="AB66" s="584" t="n"/>
      <c r="AC66" s="584" t="n"/>
      <c r="AD66" s="584" t="n"/>
      <c r="AE66" s="584" t="n"/>
      <c r="AF66" s="584" t="n"/>
      <c r="AG66" s="584" t="n"/>
      <c r="AH66" s="584" t="n"/>
      <c r="AI66" s="584" t="n"/>
      <c r="AJ66" s="584" t="n"/>
      <c r="AK66" s="584" t="n"/>
      <c r="AL66" s="584" t="n"/>
      <c r="AM66" s="584" t="n"/>
      <c r="AN66" s="584" t="n"/>
      <c r="AO66" s="584" t="n"/>
      <c r="AP66" s="584" t="n"/>
      <c r="AQ66" s="584" t="n"/>
      <c r="AR66" s="584" t="n"/>
      <c r="AS66" s="584" t="n"/>
    </row>
    <row r="67" ht="15.4" customHeight="1" s="393">
      <c r="A67" s="587" t="n"/>
      <c r="B67" s="584" t="n"/>
      <c r="C67" s="584" t="n"/>
      <c r="D67" s="595" t="n"/>
      <c r="E67" s="584" t="n"/>
      <c r="F67" s="584" t="n"/>
      <c r="G67" s="584" t="n"/>
      <c r="H67" s="584" t="n"/>
      <c r="I67" s="584" t="n"/>
      <c r="J67" s="584" t="n"/>
      <c r="K67" s="584" t="n"/>
      <c r="L67" s="584" t="n"/>
      <c r="M67" s="584" t="n"/>
      <c r="N67" s="584" t="n"/>
      <c r="O67" s="584" t="n"/>
      <c r="P67" s="584" t="n"/>
      <c r="Q67" s="584" t="n"/>
      <c r="R67" s="584" t="n"/>
      <c r="S67" s="584" t="n"/>
      <c r="T67" s="584" t="n"/>
      <c r="U67" s="584" t="n"/>
      <c r="V67" s="584" t="n"/>
      <c r="W67" s="584" t="n"/>
      <c r="X67" s="584" t="n"/>
      <c r="Y67" s="584" t="n"/>
      <c r="Z67" s="584" t="n"/>
      <c r="AA67" s="584" t="n"/>
      <c r="AB67" s="584" t="n"/>
      <c r="AC67" s="584" t="n"/>
      <c r="AD67" s="584" t="n"/>
      <c r="AE67" s="584" t="n"/>
      <c r="AF67" s="584" t="n"/>
      <c r="AG67" s="584" t="n"/>
      <c r="AH67" s="584" t="n"/>
      <c r="AI67" s="584" t="n"/>
      <c r="AJ67" s="584" t="n"/>
      <c r="AK67" s="584" t="n"/>
      <c r="AL67" s="584" t="n"/>
      <c r="AM67" s="584" t="n"/>
      <c r="AN67" s="584" t="n"/>
      <c r="AO67" s="584" t="n"/>
      <c r="AP67" s="584" t="n"/>
      <c r="AQ67" s="584" t="n"/>
      <c r="AR67" s="584" t="n"/>
      <c r="AS67" s="584" t="n"/>
    </row>
    <row r="68" ht="15.4" customHeight="1" s="393">
      <c r="A68" s="587" t="n"/>
      <c r="B68" s="584" t="n"/>
      <c r="C68" s="584" t="n"/>
      <c r="D68" s="595" t="n"/>
      <c r="E68" s="584" t="n"/>
      <c r="F68" s="584" t="n"/>
      <c r="G68" s="584" t="n"/>
      <c r="H68" s="584" t="n"/>
      <c r="I68" s="584" t="n"/>
      <c r="J68" s="584" t="n"/>
      <c r="K68" s="584" t="n"/>
      <c r="L68" s="584" t="n"/>
      <c r="M68" s="584" t="n"/>
      <c r="N68" s="584" t="n"/>
      <c r="O68" s="584" t="n"/>
      <c r="P68" s="584" t="n"/>
      <c r="Q68" s="584" t="n"/>
      <c r="R68" s="584" t="n"/>
      <c r="S68" s="584" t="n"/>
      <c r="T68" s="584" t="n"/>
      <c r="U68" s="584" t="n"/>
      <c r="V68" s="584" t="n"/>
      <c r="W68" s="584" t="n"/>
      <c r="X68" s="584" t="n"/>
      <c r="Y68" s="584" t="n"/>
      <c r="Z68" s="584" t="n"/>
      <c r="AA68" s="584" t="n"/>
      <c r="AB68" s="584" t="n"/>
      <c r="AC68" s="584" t="n"/>
      <c r="AD68" s="584" t="n"/>
      <c r="AE68" s="584" t="n"/>
      <c r="AF68" s="584" t="n"/>
      <c r="AG68" s="584" t="n"/>
      <c r="AH68" s="584" t="n"/>
      <c r="AI68" s="584" t="n"/>
      <c r="AJ68" s="584" t="n"/>
      <c r="AK68" s="584" t="n"/>
      <c r="AL68" s="584" t="n"/>
      <c r="AM68" s="584" t="n"/>
      <c r="AN68" s="584" t="n"/>
      <c r="AO68" s="584" t="n"/>
      <c r="AP68" s="584" t="n"/>
      <c r="AQ68" s="584" t="n"/>
      <c r="AR68" s="584" t="n"/>
      <c r="AS68" s="584" t="n"/>
    </row>
    <row r="69" ht="15.4" customHeight="1" s="393">
      <c r="A69" s="587" t="n"/>
      <c r="B69" s="584" t="n"/>
      <c r="C69" s="584" t="n"/>
      <c r="D69" s="595" t="n"/>
      <c r="E69" s="584" t="n"/>
      <c r="F69" s="584" t="n"/>
      <c r="G69" s="584" t="n"/>
      <c r="H69" s="584" t="n"/>
      <c r="I69" s="584" t="n"/>
      <c r="J69" s="584" t="n"/>
      <c r="K69" s="584" t="n"/>
      <c r="L69" s="584" t="n"/>
      <c r="M69" s="584" t="n"/>
      <c r="N69" s="584" t="n"/>
      <c r="O69" s="584" t="n"/>
      <c r="P69" s="584" t="n"/>
      <c r="Q69" s="584" t="n"/>
      <c r="R69" s="584" t="n"/>
      <c r="S69" s="584" t="n"/>
      <c r="T69" s="584" t="n"/>
      <c r="U69" s="584" t="n"/>
      <c r="V69" s="584" t="n"/>
      <c r="W69" s="584" t="n"/>
      <c r="X69" s="584" t="n"/>
      <c r="Y69" s="584" t="n"/>
      <c r="Z69" s="584" t="n"/>
      <c r="AA69" s="584" t="n"/>
      <c r="AB69" s="584" t="n"/>
      <c r="AC69" s="584" t="n"/>
      <c r="AD69" s="584" t="n"/>
      <c r="AE69" s="584" t="n"/>
      <c r="AF69" s="584" t="n"/>
      <c r="AG69" s="584" t="n"/>
      <c r="AH69" s="584" t="n"/>
      <c r="AI69" s="584" t="n"/>
      <c r="AJ69" s="584" t="n"/>
      <c r="AK69" s="584" t="n"/>
      <c r="AL69" s="584" t="n"/>
      <c r="AM69" s="584" t="n"/>
      <c r="AN69" s="584" t="n"/>
      <c r="AO69" s="584" t="n"/>
      <c r="AP69" s="584" t="n"/>
      <c r="AQ69" s="584" t="n"/>
      <c r="AR69" s="584" t="n"/>
      <c r="AS69" s="584" t="n"/>
    </row>
  </sheetData>
  <mergeCells count="25">
    <mergeCell ref="AD3:AE3"/>
    <mergeCell ref="AF3:AG3"/>
    <mergeCell ref="AH3:AI3"/>
    <mergeCell ref="AN3:AO3"/>
    <mergeCell ref="AP3:AQ3"/>
    <mergeCell ref="A1:K1"/>
    <mergeCell ref="F3:G3"/>
    <mergeCell ref="L3:M3"/>
    <mergeCell ref="N3:O3"/>
    <mergeCell ref="A3:A4"/>
    <mergeCell ref="D3:D4"/>
    <mergeCell ref="X3:Y3"/>
    <mergeCell ref="Z3:AA3"/>
    <mergeCell ref="AJ3:AK3"/>
    <mergeCell ref="AL3:AM3"/>
    <mergeCell ref="R3:S3"/>
    <mergeCell ref="B3:C4"/>
    <mergeCell ref="H3:I3"/>
    <mergeCell ref="J3:K3"/>
    <mergeCell ref="P3:Q3"/>
    <mergeCell ref="E3:E4"/>
    <mergeCell ref="AR3:AS3"/>
    <mergeCell ref="T3:U3"/>
    <mergeCell ref="V3:W3"/>
    <mergeCell ref="AB3:AC3"/>
  </mergeCells>
  <printOptions horizontalCentered="0" verticalCentered="0" headings="0" gridLines="0" gridLinesSet="1"/>
  <pageMargins left="0.433333333333333" right="0.39375" top="0.472222222222222" bottom="0.39375" header="0.511811023622047" footer="0.511811023622047"/>
  <pageSetup orientation="landscape" paperSize="9" scale="100" fitToHeight="2"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O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7" activeCellId="0" sqref="A7:J7"/>
    </sheetView>
  </sheetViews>
  <sheetFormatPr baseColWidth="8" defaultColWidth="8.99609375" defaultRowHeight="14.25" zeroHeight="0" outlineLevelRow="0"/>
  <cols>
    <col width="4.68" customWidth="1" style="597" min="1" max="1"/>
    <col width="12.93" customWidth="1" style="597" min="2" max="2"/>
    <col width="12.55" customWidth="1" style="597" min="3" max="4"/>
    <col width="8.99" customWidth="1" style="597" min="5" max="5"/>
    <col width="10.06" customWidth="1" style="597" min="6" max="9"/>
    <col width="24.37" customWidth="1" style="597" min="10" max="10"/>
    <col width="8.99" customWidth="1" style="597" min="11" max="257"/>
  </cols>
  <sheetData>
    <row r="1" ht="15.4" customFormat="1" customHeight="1" s="598">
      <c r="A1" s="511" t="inlineStr">
        <is>
          <t>SỞ GIÁO DỤC VÀ ĐÀO TẠO TỈNH QUẢNG NGÃI</t>
        </is>
      </c>
      <c r="G1" s="599" t="inlineStr">
        <is>
          <t xml:space="preserve">   CỘNG HÒA XÃ HỘI CHỦ NGHĨA VIỆT NAM</t>
        </is>
      </c>
      <c r="L1" s="600" t="n"/>
      <c r="M1" s="600" t="n"/>
      <c r="N1" s="600" t="n"/>
      <c r="O1" s="600" t="n"/>
    </row>
    <row r="2" ht="16.5" customFormat="1" customHeight="1" s="601">
      <c r="A2" s="513" t="inlineStr">
        <is>
          <t>TRUNG TÂM GDNN-GDTX KHU VỰC ĐĂK HÀ</t>
        </is>
      </c>
      <c r="G2" s="602" t="inlineStr">
        <is>
          <t xml:space="preserve"> Độc lập - Tự do - Hạnh phúc</t>
        </is>
      </c>
      <c r="L2" s="603" t="n"/>
      <c r="M2" s="603" t="n"/>
      <c r="N2" s="603" t="n"/>
      <c r="O2" s="603" t="n"/>
    </row>
    <row r="3" ht="7.5" customFormat="1" customHeight="1" s="598">
      <c r="A3" s="599" t="inlineStr">
        <is>
          <t>____________</t>
        </is>
      </c>
      <c r="G3" s="599" t="inlineStr">
        <is>
          <t>_______________________</t>
        </is>
      </c>
      <c r="L3" s="600" t="n"/>
      <c r="M3" s="600" t="n"/>
      <c r="N3" s="600" t="n"/>
      <c r="O3" s="600" t="n"/>
    </row>
    <row r="4"/>
    <row r="5" ht="17.65" customFormat="1" customHeight="1" s="604">
      <c r="A5" s="605" t="inlineStr">
        <is>
          <t>BẢNG XÉT ĐIỀU KIỆN DỰ KIỂM TRA KẾT THÚC TÍN CHỈ</t>
        </is>
      </c>
    </row>
    <row r="6" ht="17.65" customFormat="1" customHeight="1" s="604">
      <c r="A6" s="605">
        <f>"Lớp Đào tạo Nghề: "&amp;UPPER('KHÓA HỌC'!D5)&amp;"; Khóa: "&amp;'KHÓA HỌC'!D3&amp;"; Năm "&amp;'KHÓA HỌC'!D4</f>
        <v/>
      </c>
    </row>
    <row r="7" ht="17.65" customFormat="1" customHeight="1" s="604">
      <c r="A7" s="606" t="inlineStr">
        <is>
          <t>Tín chỉ: Mã tín chỉ: Tên tín chỉ - Mã mô đun: Tên mô đun</t>
        </is>
      </c>
    </row>
    <row r="8" ht="17.65" customFormat="1" customHeight="1" s="604"/>
    <row r="9" ht="67.5" customHeight="1" s="393">
      <c r="A9" s="607" t="inlineStr">
        <is>
          <t>STT</t>
        </is>
      </c>
      <c r="B9" s="607" t="inlineStr">
        <is>
          <t>Mã
HV</t>
        </is>
      </c>
      <c r="C9" s="607" t="inlineStr">
        <is>
          <t>Họ và tên</t>
        </is>
      </c>
      <c r="D9" s="608" t="n"/>
      <c r="E9" s="608" t="inlineStr">
        <is>
          <t>Năm sinh</t>
        </is>
      </c>
      <c r="F9" s="608" t="inlineStr">
        <is>
          <t>% thời gian học LT so với tổng số tiết LT</t>
        </is>
      </c>
      <c r="G9" s="608" t="inlineStr">
        <is>
          <t>% thời gian học TH so với tổng số tiết TH</t>
        </is>
      </c>
      <c r="H9" s="608" t="inlineStr">
        <is>
          <t>Trung bình các điểm kiểm tra từ 5,0 điểm trở lên</t>
        </is>
      </c>
      <c r="I9" s="608" t="inlineStr">
        <is>
          <t>Đủ điều kiện kiểm tra kết thúc tín chỉ</t>
        </is>
      </c>
      <c r="J9" s="607" t="inlineStr">
        <is>
          <t xml:space="preserve"> Lý do  Không đủ điều kiện kiểm tra kết thúc tín chỉ</t>
        </is>
      </c>
    </row>
    <row r="10" ht="16.9" customFormat="1" customHeight="1" s="609">
      <c r="A10" s="610">
        <f>'Thông tin HV'!A2</f>
        <v/>
      </c>
      <c r="B10" s="611">
        <f>'Thông tin HV'!B2</f>
        <v/>
      </c>
      <c r="C10" s="612">
        <f>'Thông tin HV'!C2</f>
        <v/>
      </c>
      <c r="D10" s="612" t="n"/>
      <c r="E10" s="613" t="n">
        <v>1984</v>
      </c>
      <c r="F10" s="614" t="n">
        <v>1</v>
      </c>
      <c r="G10" s="614" t="n">
        <v>1</v>
      </c>
      <c r="H10" s="615" t="inlineStr">
        <is>
          <t>Đạt</t>
        </is>
      </c>
      <c r="I10" s="615" t="inlineStr">
        <is>
          <t>Đủ</t>
        </is>
      </c>
      <c r="J10" s="616" t="n"/>
    </row>
    <row r="11" ht="16.9" customFormat="1" customHeight="1" s="609">
      <c r="A11" s="610">
        <f>'Thông tin HV'!A3</f>
        <v/>
      </c>
      <c r="B11" s="611">
        <f>'Thông tin HV'!B3</f>
        <v/>
      </c>
      <c r="C11" s="612">
        <f>'Thông tin HV'!C3</f>
        <v/>
      </c>
      <c r="D11" s="612" t="n"/>
      <c r="E11" s="613" t="n">
        <v>1986</v>
      </c>
      <c r="F11" s="614" t="n">
        <v>1</v>
      </c>
      <c r="G11" s="614" t="n">
        <v>1</v>
      </c>
      <c r="H11" s="615" t="inlineStr">
        <is>
          <t>Đạt</t>
        </is>
      </c>
      <c r="I11" s="615" t="inlineStr">
        <is>
          <t>Đủ</t>
        </is>
      </c>
      <c r="J11" s="616" t="n"/>
    </row>
    <row r="12" ht="16.9" customFormat="1" customHeight="1" s="609">
      <c r="A12" s="610">
        <f>'Thông tin HV'!A4</f>
        <v/>
      </c>
      <c r="B12" s="611">
        <f>'Thông tin HV'!B4</f>
        <v/>
      </c>
      <c r="C12" s="612">
        <f>'Thông tin HV'!C4</f>
        <v/>
      </c>
      <c r="D12" s="612" t="n"/>
      <c r="E12" s="613" t="n">
        <v>1981</v>
      </c>
      <c r="F12" s="614" t="n">
        <v>1</v>
      </c>
      <c r="G12" s="614" t="n">
        <v>1</v>
      </c>
      <c r="H12" s="615" t="inlineStr">
        <is>
          <t>Đạt</t>
        </is>
      </c>
      <c r="I12" s="615" t="inlineStr">
        <is>
          <t>Đủ</t>
        </is>
      </c>
      <c r="J12" s="616" t="n"/>
    </row>
    <row r="13" ht="16.9" customFormat="1" customHeight="1" s="609">
      <c r="A13" s="610">
        <f>'Thông tin HV'!A5</f>
        <v/>
      </c>
      <c r="B13" s="611">
        <f>'Thông tin HV'!B5</f>
        <v/>
      </c>
      <c r="C13" s="612">
        <f>'Thông tin HV'!C5</f>
        <v/>
      </c>
      <c r="D13" s="612" t="n"/>
      <c r="E13" s="613" t="n">
        <v>1978</v>
      </c>
      <c r="F13" s="614" t="n">
        <v>1</v>
      </c>
      <c r="G13" s="614" t="n">
        <v>1</v>
      </c>
      <c r="H13" s="615" t="inlineStr">
        <is>
          <t>Đạt</t>
        </is>
      </c>
      <c r="I13" s="615" t="inlineStr">
        <is>
          <t>Đủ</t>
        </is>
      </c>
      <c r="J13" s="616" t="n"/>
    </row>
    <row r="14" ht="16.9" customFormat="1" customHeight="1" s="609">
      <c r="A14" s="610">
        <f>'Thông tin HV'!A6</f>
        <v/>
      </c>
      <c r="B14" s="611">
        <f>'Thông tin HV'!B6</f>
        <v/>
      </c>
      <c r="C14" s="612">
        <f>'Thông tin HV'!C6</f>
        <v/>
      </c>
      <c r="D14" s="612" t="n"/>
      <c r="E14" s="613" t="n">
        <v>1970</v>
      </c>
      <c r="F14" s="614" t="n">
        <v>1</v>
      </c>
      <c r="G14" s="614" t="n">
        <v>1</v>
      </c>
      <c r="H14" s="615" t="inlineStr">
        <is>
          <t>Đạt</t>
        </is>
      </c>
      <c r="I14" s="615" t="inlineStr">
        <is>
          <t>Đủ</t>
        </is>
      </c>
      <c r="J14" s="616" t="n"/>
    </row>
    <row r="15" ht="16.9" customFormat="1" customHeight="1" s="609">
      <c r="A15" s="610">
        <f>'Thông tin HV'!A7</f>
        <v/>
      </c>
      <c r="B15" s="611">
        <f>'Thông tin HV'!B7</f>
        <v/>
      </c>
      <c r="C15" s="612">
        <f>'Thông tin HV'!C7</f>
        <v/>
      </c>
      <c r="D15" s="612" t="n"/>
      <c r="E15" s="617" t="n">
        <v>2001</v>
      </c>
      <c r="F15" s="614" t="n">
        <v>1</v>
      </c>
      <c r="G15" s="614" t="n">
        <v>1</v>
      </c>
      <c r="H15" s="615" t="inlineStr">
        <is>
          <t>Đạt</t>
        </is>
      </c>
      <c r="I15" s="615" t="inlineStr">
        <is>
          <t>Đủ</t>
        </is>
      </c>
      <c r="J15" s="616" t="n"/>
    </row>
    <row r="16" ht="16.9" customFormat="1" customHeight="1" s="609">
      <c r="A16" s="610">
        <f>'Thông tin HV'!A8</f>
        <v/>
      </c>
      <c r="B16" s="611">
        <f>'Thông tin HV'!B8</f>
        <v/>
      </c>
      <c r="C16" s="612">
        <f>'Thông tin HV'!C8</f>
        <v/>
      </c>
      <c r="D16" s="612" t="n"/>
      <c r="E16" s="613" t="n">
        <v>1963</v>
      </c>
      <c r="F16" s="614" t="n">
        <v>1</v>
      </c>
      <c r="G16" s="614" t="n">
        <v>1</v>
      </c>
      <c r="H16" s="615" t="inlineStr">
        <is>
          <t>Đạt</t>
        </is>
      </c>
      <c r="I16" s="615" t="inlineStr">
        <is>
          <t>Đủ</t>
        </is>
      </c>
      <c r="J16" s="616" t="n"/>
    </row>
    <row r="17" ht="16.9" customFormat="1" customHeight="1" s="609">
      <c r="A17" s="610">
        <f>'Thông tin HV'!A9</f>
        <v/>
      </c>
      <c r="B17" s="611">
        <f>'Thông tin HV'!B9</f>
        <v/>
      </c>
      <c r="C17" s="612">
        <f>'Thông tin HV'!C9</f>
        <v/>
      </c>
      <c r="D17" s="612" t="n"/>
      <c r="E17" s="617" t="n">
        <v>1981</v>
      </c>
      <c r="F17" s="614" t="n">
        <v>1</v>
      </c>
      <c r="G17" s="614" t="n">
        <v>1</v>
      </c>
      <c r="H17" s="615" t="inlineStr">
        <is>
          <t>Đạt</t>
        </is>
      </c>
      <c r="I17" s="615" t="inlineStr">
        <is>
          <t>Đủ</t>
        </is>
      </c>
      <c r="J17" s="616" t="n"/>
    </row>
    <row r="18" ht="16.9" customFormat="1" customHeight="1" s="609">
      <c r="A18" s="610">
        <f>'Thông tin HV'!A10</f>
        <v/>
      </c>
      <c r="B18" s="611">
        <f>'Thông tin HV'!B10</f>
        <v/>
      </c>
      <c r="C18" s="612">
        <f>'Thông tin HV'!C10</f>
        <v/>
      </c>
      <c r="D18" s="612" t="n"/>
      <c r="E18" s="617" t="n">
        <v>1990</v>
      </c>
      <c r="F18" s="614" t="n">
        <v>1</v>
      </c>
      <c r="G18" s="614" t="n">
        <v>1</v>
      </c>
      <c r="H18" s="615" t="inlineStr">
        <is>
          <t>Đạt</t>
        </is>
      </c>
      <c r="I18" s="615" t="inlineStr">
        <is>
          <t>Đủ</t>
        </is>
      </c>
      <c r="J18" s="616" t="n"/>
    </row>
    <row r="19" ht="16.9" customFormat="1" customHeight="1" s="609">
      <c r="A19" s="610">
        <f>'Thông tin HV'!A11</f>
        <v/>
      </c>
      <c r="B19" s="611">
        <f>'Thông tin HV'!B11</f>
        <v/>
      </c>
      <c r="C19" s="612">
        <f>'Thông tin HV'!C11</f>
        <v/>
      </c>
      <c r="D19" s="612" t="n"/>
      <c r="E19" s="617" t="n">
        <v>1977</v>
      </c>
      <c r="F19" s="614" t="n">
        <v>1</v>
      </c>
      <c r="G19" s="614" t="n">
        <v>1</v>
      </c>
      <c r="H19" s="615" t="inlineStr">
        <is>
          <t>Đạt</t>
        </is>
      </c>
      <c r="I19" s="615" t="inlineStr">
        <is>
          <t>Đủ</t>
        </is>
      </c>
      <c r="J19" s="616" t="n"/>
    </row>
    <row r="20" ht="16.9" customFormat="1" customHeight="1" s="609">
      <c r="A20" s="610">
        <f>'Thông tin HV'!A12</f>
        <v/>
      </c>
      <c r="B20" s="611">
        <f>'Thông tin HV'!B12</f>
        <v/>
      </c>
      <c r="C20" s="612">
        <f>'Thông tin HV'!C12</f>
        <v/>
      </c>
      <c r="D20" s="612" t="n"/>
      <c r="E20" s="617" t="n">
        <v>1986</v>
      </c>
      <c r="F20" s="614" t="n">
        <v>1</v>
      </c>
      <c r="G20" s="614" t="n">
        <v>1</v>
      </c>
      <c r="H20" s="615" t="inlineStr">
        <is>
          <t>Đạt</t>
        </is>
      </c>
      <c r="I20" s="615" t="inlineStr">
        <is>
          <t>Đủ</t>
        </is>
      </c>
      <c r="J20" s="616" t="n"/>
    </row>
    <row r="21" ht="16.9" customFormat="1" customHeight="1" s="609">
      <c r="A21" s="610">
        <f>'Thông tin HV'!A13</f>
        <v/>
      </c>
      <c r="B21" s="611">
        <f>'Thông tin HV'!B13</f>
        <v/>
      </c>
      <c r="C21" s="612">
        <f>'Thông tin HV'!C13</f>
        <v/>
      </c>
      <c r="D21" s="612" t="n"/>
      <c r="E21" s="617" t="n">
        <v>1976</v>
      </c>
      <c r="F21" s="614" t="n">
        <v>1</v>
      </c>
      <c r="G21" s="614" t="n">
        <v>1</v>
      </c>
      <c r="H21" s="615" t="inlineStr">
        <is>
          <t>Đạt</t>
        </is>
      </c>
      <c r="I21" s="615" t="inlineStr">
        <is>
          <t>Đủ</t>
        </is>
      </c>
      <c r="J21" s="616" t="n"/>
    </row>
    <row r="22" ht="16.9" customFormat="1" customHeight="1" s="609">
      <c r="A22" s="610">
        <f>'Thông tin HV'!A14</f>
        <v/>
      </c>
      <c r="B22" s="611">
        <f>'Thông tin HV'!B14</f>
        <v/>
      </c>
      <c r="C22" s="612">
        <f>'Thông tin HV'!C14</f>
        <v/>
      </c>
      <c r="D22" s="612" t="n"/>
      <c r="E22" s="617" t="n">
        <v>1989</v>
      </c>
      <c r="F22" s="614" t="n">
        <v>1</v>
      </c>
      <c r="G22" s="614" t="n">
        <v>1</v>
      </c>
      <c r="H22" s="615" t="inlineStr">
        <is>
          <t>Đạt</t>
        </is>
      </c>
      <c r="I22" s="615" t="inlineStr">
        <is>
          <t>Đủ</t>
        </is>
      </c>
      <c r="J22" s="616" t="n"/>
    </row>
    <row r="23" ht="16.9" customFormat="1" customHeight="1" s="609">
      <c r="A23" s="610">
        <f>'Thông tin HV'!A15</f>
        <v/>
      </c>
      <c r="B23" s="611">
        <f>'Thông tin HV'!B15</f>
        <v/>
      </c>
      <c r="C23" s="612">
        <f>'Thông tin HV'!C15</f>
        <v/>
      </c>
      <c r="D23" s="612" t="n"/>
      <c r="E23" s="617" t="n">
        <v>1983</v>
      </c>
      <c r="F23" s="614" t="n">
        <v>1</v>
      </c>
      <c r="G23" s="614" t="n">
        <v>1</v>
      </c>
      <c r="H23" s="615" t="inlineStr">
        <is>
          <t>Đạt</t>
        </is>
      </c>
      <c r="I23" s="615" t="inlineStr">
        <is>
          <t>Đủ</t>
        </is>
      </c>
      <c r="J23" s="616" t="n"/>
    </row>
    <row r="24" ht="16.9" customFormat="1" customHeight="1" s="609">
      <c r="A24" s="610">
        <f>'Thông tin HV'!A16</f>
        <v/>
      </c>
      <c r="B24" s="611">
        <f>'Thông tin HV'!B16</f>
        <v/>
      </c>
      <c r="C24" s="612">
        <f>'Thông tin HV'!C16</f>
        <v/>
      </c>
      <c r="D24" s="612" t="n"/>
      <c r="E24" s="617" t="n">
        <v>1982</v>
      </c>
      <c r="F24" s="614" t="n">
        <v>1</v>
      </c>
      <c r="G24" s="614" t="n">
        <v>1</v>
      </c>
      <c r="H24" s="615" t="inlineStr">
        <is>
          <t>Đạt</t>
        </is>
      </c>
      <c r="I24" s="615" t="inlineStr">
        <is>
          <t>Đủ</t>
        </is>
      </c>
      <c r="J24" s="616" t="n"/>
    </row>
    <row r="25" ht="16.9" customFormat="1" customHeight="1" s="609">
      <c r="A25" s="610">
        <f>'Thông tin HV'!A17</f>
        <v/>
      </c>
      <c r="B25" s="611">
        <f>'Thông tin HV'!B17</f>
        <v/>
      </c>
      <c r="C25" s="612">
        <f>'Thông tin HV'!C17</f>
        <v/>
      </c>
      <c r="D25" s="612" t="n"/>
      <c r="E25" s="613" t="n">
        <v>1983</v>
      </c>
      <c r="F25" s="614" t="n">
        <v>0</v>
      </c>
      <c r="G25" s="614" t="n">
        <v>0</v>
      </c>
      <c r="H25" s="615" t="inlineStr">
        <is>
          <t>Không</t>
        </is>
      </c>
      <c r="I25" s="615" t="inlineStr">
        <is>
          <t>Không</t>
        </is>
      </c>
      <c r="J25" s="618" t="inlineStr">
        <is>
          <t>Bỏ học giữa chừng</t>
        </is>
      </c>
    </row>
    <row r="26" ht="16.9" customFormat="1" customHeight="1" s="609">
      <c r="A26" s="610">
        <f>'Thông tin HV'!A18</f>
        <v/>
      </c>
      <c r="B26" s="611">
        <f>'Thông tin HV'!B18</f>
        <v/>
      </c>
      <c r="C26" s="612">
        <f>'Thông tin HV'!C18</f>
        <v/>
      </c>
      <c r="D26" s="612" t="n"/>
      <c r="E26" s="617" t="n">
        <v>1990</v>
      </c>
      <c r="F26" s="614" t="n">
        <v>1</v>
      </c>
      <c r="G26" s="614" t="n">
        <v>1</v>
      </c>
      <c r="H26" s="615" t="inlineStr">
        <is>
          <t>Đạt</t>
        </is>
      </c>
      <c r="I26" s="615" t="inlineStr">
        <is>
          <t>Đủ</t>
        </is>
      </c>
      <c r="J26" s="616" t="n"/>
    </row>
    <row r="27" ht="16.9" customFormat="1" customHeight="1" s="609">
      <c r="A27" s="610">
        <f>'Thông tin HV'!A19</f>
        <v/>
      </c>
      <c r="B27" s="611">
        <f>'Thông tin HV'!B19</f>
        <v/>
      </c>
      <c r="C27" s="612">
        <f>'Thông tin HV'!C19</f>
        <v/>
      </c>
      <c r="D27" s="612" t="n"/>
      <c r="E27" s="617" t="n">
        <v>1979</v>
      </c>
      <c r="F27" s="614" t="n">
        <v>1</v>
      </c>
      <c r="G27" s="614" t="n">
        <v>1</v>
      </c>
      <c r="H27" s="615" t="inlineStr">
        <is>
          <t>Đạt</t>
        </is>
      </c>
      <c r="I27" s="615" t="inlineStr">
        <is>
          <t>Đủ</t>
        </is>
      </c>
      <c r="J27" s="616" t="n"/>
    </row>
    <row r="28" ht="16.9" customFormat="1" customHeight="1" s="609">
      <c r="A28" s="610">
        <f>'Thông tin HV'!A20</f>
        <v/>
      </c>
      <c r="B28" s="611">
        <f>'Thông tin HV'!B20</f>
        <v/>
      </c>
      <c r="C28" s="612">
        <f>'Thông tin HV'!C20</f>
        <v/>
      </c>
      <c r="D28" s="612" t="n"/>
      <c r="E28" s="617" t="n">
        <v>1980</v>
      </c>
      <c r="F28" s="614" t="n">
        <v>1</v>
      </c>
      <c r="G28" s="614" t="n">
        <v>1</v>
      </c>
      <c r="H28" s="615" t="inlineStr">
        <is>
          <t>Đạt</t>
        </is>
      </c>
      <c r="I28" s="615" t="inlineStr">
        <is>
          <t>Đủ</t>
        </is>
      </c>
      <c r="J28" s="616" t="n"/>
    </row>
    <row r="29" ht="16.9" customFormat="1" customHeight="1" s="609">
      <c r="A29" s="610">
        <f>'Thông tin HV'!A21</f>
        <v/>
      </c>
      <c r="B29" s="611">
        <f>'Thông tin HV'!B21</f>
        <v/>
      </c>
      <c r="C29" s="612">
        <f>'Thông tin HV'!C21</f>
        <v/>
      </c>
      <c r="D29" s="612" t="n"/>
      <c r="E29" s="617" t="n">
        <v>1965</v>
      </c>
      <c r="F29" s="614" t="n">
        <v>1</v>
      </c>
      <c r="G29" s="614" t="n">
        <v>1</v>
      </c>
      <c r="H29" s="615" t="inlineStr">
        <is>
          <t>Đạt</t>
        </is>
      </c>
      <c r="I29" s="615" t="inlineStr">
        <is>
          <t>Đủ</t>
        </is>
      </c>
      <c r="J29" s="616" t="n"/>
    </row>
    <row r="30" ht="16.9" customFormat="1" customHeight="1" s="609">
      <c r="A30" s="610">
        <f>'Thông tin HV'!A22</f>
        <v/>
      </c>
      <c r="B30" s="611">
        <f>'Thông tin HV'!B22</f>
        <v/>
      </c>
      <c r="C30" s="612">
        <f>'Thông tin HV'!C22</f>
        <v/>
      </c>
      <c r="D30" s="612" t="n"/>
      <c r="E30" s="617" t="n">
        <v>1999</v>
      </c>
      <c r="F30" s="614" t="n">
        <v>1</v>
      </c>
      <c r="G30" s="614" t="n">
        <v>1</v>
      </c>
      <c r="H30" s="615" t="inlineStr">
        <is>
          <t>Đạt</t>
        </is>
      </c>
      <c r="I30" s="615" t="inlineStr">
        <is>
          <t>Đủ</t>
        </is>
      </c>
      <c r="J30" s="616" t="n"/>
    </row>
    <row r="31" ht="16.9" customFormat="1" customHeight="1" s="609">
      <c r="A31" s="610">
        <f>'Thông tin HV'!A23</f>
        <v/>
      </c>
      <c r="B31" s="611">
        <f>'Thông tin HV'!B23</f>
        <v/>
      </c>
      <c r="C31" s="612">
        <f>'Thông tin HV'!C23</f>
        <v/>
      </c>
      <c r="D31" s="612" t="n"/>
      <c r="E31" s="617" t="n">
        <v>1985</v>
      </c>
      <c r="F31" s="614" t="n">
        <v>1</v>
      </c>
      <c r="G31" s="614" t="n">
        <v>1</v>
      </c>
      <c r="H31" s="615" t="inlineStr">
        <is>
          <t>Đạt</t>
        </is>
      </c>
      <c r="I31" s="615" t="inlineStr">
        <is>
          <t>Đủ</t>
        </is>
      </c>
      <c r="J31" s="616" t="n"/>
    </row>
    <row r="32" ht="16.9" customFormat="1" customHeight="1" s="609">
      <c r="A32" s="610">
        <f>'Thông tin HV'!A24</f>
        <v/>
      </c>
      <c r="B32" s="611">
        <f>'Thông tin HV'!B24</f>
        <v/>
      </c>
      <c r="C32" s="612">
        <f>'Thông tin HV'!C24</f>
        <v/>
      </c>
      <c r="D32" s="612" t="n"/>
      <c r="E32" s="617" t="n">
        <v>1975</v>
      </c>
      <c r="F32" s="614" t="n">
        <v>1</v>
      </c>
      <c r="G32" s="614" t="n">
        <v>1</v>
      </c>
      <c r="H32" s="615" t="inlineStr">
        <is>
          <t>Đạt</t>
        </is>
      </c>
      <c r="I32" s="615" t="inlineStr">
        <is>
          <t>Đủ</t>
        </is>
      </c>
      <c r="J32" s="616" t="n"/>
    </row>
    <row r="33" ht="16.9" customFormat="1" customHeight="1" s="609">
      <c r="A33" s="610">
        <f>'Thông tin HV'!A25</f>
        <v/>
      </c>
      <c r="B33" s="611">
        <f>'Thông tin HV'!B25</f>
        <v/>
      </c>
      <c r="C33" s="612">
        <f>'Thông tin HV'!C25</f>
        <v/>
      </c>
      <c r="D33" s="612" t="n"/>
      <c r="E33" s="617" t="n">
        <v>1992</v>
      </c>
      <c r="F33" s="614" t="n">
        <v>1</v>
      </c>
      <c r="G33" s="614" t="n">
        <v>1</v>
      </c>
      <c r="H33" s="615" t="inlineStr">
        <is>
          <t>Đạt</t>
        </is>
      </c>
      <c r="I33" s="615" t="inlineStr">
        <is>
          <t>Đủ</t>
        </is>
      </c>
      <c r="J33" s="616" t="n"/>
    </row>
    <row r="34" ht="16.9" customFormat="1" customHeight="1" s="609">
      <c r="A34" s="610">
        <f>'Thông tin HV'!A26</f>
        <v/>
      </c>
      <c r="B34" s="611">
        <f>'Thông tin HV'!B26</f>
        <v/>
      </c>
      <c r="C34" s="612">
        <f>'Thông tin HV'!C26</f>
        <v/>
      </c>
      <c r="D34" s="612" t="n"/>
      <c r="E34" s="617" t="n">
        <v>1978</v>
      </c>
      <c r="F34" s="614" t="n">
        <v>1</v>
      </c>
      <c r="G34" s="614" t="n">
        <v>1</v>
      </c>
      <c r="H34" s="615" t="inlineStr">
        <is>
          <t>Đạt</t>
        </is>
      </c>
      <c r="I34" s="615" t="inlineStr">
        <is>
          <t>Đủ</t>
        </is>
      </c>
      <c r="J34" s="616" t="n"/>
    </row>
    <row r="35" ht="16.9" customFormat="1" customHeight="1" s="609">
      <c r="A35" s="610">
        <f>'Thông tin HV'!A27</f>
        <v/>
      </c>
      <c r="B35" s="611">
        <f>'Thông tin HV'!B27</f>
        <v/>
      </c>
      <c r="C35" s="612">
        <f>'Thông tin HV'!C27</f>
        <v/>
      </c>
      <c r="D35" s="612" t="n"/>
      <c r="E35" s="617" t="n">
        <v>1965</v>
      </c>
      <c r="F35" s="614" t="n">
        <v>1</v>
      </c>
      <c r="G35" s="614" t="n">
        <v>1</v>
      </c>
      <c r="H35" s="615" t="inlineStr">
        <is>
          <t>Đạt</t>
        </is>
      </c>
      <c r="I35" s="615" t="inlineStr">
        <is>
          <t>Đủ</t>
        </is>
      </c>
      <c r="J35" s="619" t="n"/>
    </row>
    <row r="36" ht="16.9" customFormat="1" customHeight="1" s="609">
      <c r="A36" s="610">
        <f>'Thông tin HV'!A28</f>
        <v/>
      </c>
      <c r="B36" s="611">
        <f>'Thông tin HV'!B28</f>
        <v/>
      </c>
      <c r="C36" s="612">
        <f>'Thông tin HV'!C28</f>
        <v/>
      </c>
      <c r="D36" s="612" t="n"/>
      <c r="E36" s="617" t="n">
        <v>2005</v>
      </c>
      <c r="F36" s="614" t="n">
        <v>1</v>
      </c>
      <c r="G36" s="614" t="n">
        <v>1</v>
      </c>
      <c r="H36" s="615" t="inlineStr">
        <is>
          <t>Đạt</t>
        </is>
      </c>
      <c r="I36" s="615" t="inlineStr">
        <is>
          <t>Đủ</t>
        </is>
      </c>
      <c r="J36" s="616" t="n"/>
    </row>
    <row r="37" ht="16.9" customFormat="1" customHeight="1" s="609">
      <c r="A37" s="610">
        <f>'Thông tin HV'!A29</f>
        <v/>
      </c>
      <c r="B37" s="611">
        <f>'Thông tin HV'!B29</f>
        <v/>
      </c>
      <c r="C37" s="612">
        <f>'Thông tin HV'!C29</f>
        <v/>
      </c>
      <c r="D37" s="612" t="n"/>
      <c r="E37" s="617" t="n">
        <v>1986</v>
      </c>
      <c r="F37" s="614" t="n">
        <v>1</v>
      </c>
      <c r="G37" s="614" t="n">
        <v>1</v>
      </c>
      <c r="H37" s="615" t="inlineStr">
        <is>
          <t>Đạt</t>
        </is>
      </c>
      <c r="I37" s="615" t="inlineStr">
        <is>
          <t>Đủ</t>
        </is>
      </c>
      <c r="J37" s="616" t="n"/>
    </row>
    <row r="38" ht="16.9" customFormat="1" customHeight="1" s="609">
      <c r="A38" s="610">
        <f>'Thông tin HV'!A30</f>
        <v/>
      </c>
      <c r="B38" s="611">
        <f>'Thông tin HV'!B30</f>
        <v/>
      </c>
      <c r="C38" s="612">
        <f>'Thông tin HV'!C30</f>
        <v/>
      </c>
      <c r="D38" s="612" t="n"/>
      <c r="E38" s="617" t="n">
        <v>1982</v>
      </c>
      <c r="F38" s="614" t="n">
        <v>1</v>
      </c>
      <c r="G38" s="614" t="n">
        <v>1</v>
      </c>
      <c r="H38" s="615" t="inlineStr">
        <is>
          <t>Đạt</t>
        </is>
      </c>
      <c r="I38" s="615" t="inlineStr">
        <is>
          <t>Đủ</t>
        </is>
      </c>
      <c r="J38" s="616" t="n"/>
    </row>
    <row r="39" ht="16.9" customFormat="1" customHeight="1" s="609">
      <c r="A39" s="610">
        <f>'Thông tin HV'!A31</f>
        <v/>
      </c>
      <c r="B39" s="611">
        <f>'Thông tin HV'!B31</f>
        <v/>
      </c>
      <c r="C39" s="612">
        <f>'Thông tin HV'!C31</f>
        <v/>
      </c>
      <c r="D39" s="612" t="n"/>
      <c r="E39" s="617" t="n">
        <v>1965</v>
      </c>
      <c r="F39" s="614" t="n">
        <v>1</v>
      </c>
      <c r="G39" s="614" t="n">
        <v>1</v>
      </c>
      <c r="H39" s="615" t="inlineStr">
        <is>
          <t>Đạt</t>
        </is>
      </c>
      <c r="I39" s="615" t="inlineStr">
        <is>
          <t>Đủ</t>
        </is>
      </c>
      <c r="J39" s="616" t="n"/>
    </row>
    <row r="40" ht="16.9" customFormat="1" customHeight="1" s="609">
      <c r="A40" s="610">
        <f>'Thông tin HV'!A32</f>
        <v/>
      </c>
      <c r="B40" s="611">
        <f>'Thông tin HV'!B32</f>
        <v/>
      </c>
      <c r="C40" s="612">
        <f>'Thông tin HV'!C32</f>
        <v/>
      </c>
      <c r="D40" s="612" t="n"/>
      <c r="E40" s="617" t="n">
        <v>1966</v>
      </c>
      <c r="F40" s="614" t="n">
        <v>1</v>
      </c>
      <c r="G40" s="614" t="n">
        <v>1</v>
      </c>
      <c r="H40" s="615" t="inlineStr">
        <is>
          <t>Đạt</t>
        </is>
      </c>
      <c r="I40" s="615" t="inlineStr">
        <is>
          <t>Đủ</t>
        </is>
      </c>
      <c r="J40" s="616" t="n"/>
    </row>
    <row r="41" ht="16.9" customFormat="1" customHeight="1" s="609">
      <c r="A41" s="610">
        <f>'Thông tin HV'!A33</f>
        <v/>
      </c>
      <c r="B41" s="611">
        <f>'Thông tin HV'!B33</f>
        <v/>
      </c>
      <c r="C41" s="612">
        <f>'Thông tin HV'!C33</f>
        <v/>
      </c>
      <c r="D41" s="612" t="n"/>
      <c r="E41" s="617" t="n">
        <v>1967</v>
      </c>
      <c r="F41" s="614" t="n">
        <v>1</v>
      </c>
      <c r="G41" s="614" t="n">
        <v>1</v>
      </c>
      <c r="H41" s="615" t="inlineStr">
        <is>
          <t>Đạt</t>
        </is>
      </c>
      <c r="I41" s="615" t="inlineStr">
        <is>
          <t>Đủ</t>
        </is>
      </c>
      <c r="J41" s="616" t="n"/>
    </row>
    <row r="42" ht="16.9" customFormat="1" customHeight="1" s="609">
      <c r="A42" s="610">
        <f>'Thông tin HV'!A34</f>
        <v/>
      </c>
      <c r="B42" s="611">
        <f>'Thông tin HV'!B34</f>
        <v/>
      </c>
      <c r="C42" s="612">
        <f>'Thông tin HV'!C34</f>
        <v/>
      </c>
      <c r="D42" s="612" t="n"/>
      <c r="E42" s="617" t="n">
        <v>1968</v>
      </c>
      <c r="F42" s="614" t="n">
        <v>1</v>
      </c>
      <c r="G42" s="614" t="n">
        <v>1</v>
      </c>
      <c r="H42" s="615" t="inlineStr">
        <is>
          <t>Đạt</t>
        </is>
      </c>
      <c r="I42" s="615" t="inlineStr">
        <is>
          <t>Đủ</t>
        </is>
      </c>
      <c r="J42" s="616" t="n"/>
    </row>
    <row r="43" ht="16.9" customHeight="1" s="393">
      <c r="A43" s="610">
        <f>'Thông tin HV'!A35</f>
        <v/>
      </c>
      <c r="B43" s="611">
        <f>'Thông tin HV'!B35</f>
        <v/>
      </c>
      <c r="C43" s="612">
        <f>'Thông tin HV'!C35</f>
        <v/>
      </c>
      <c r="D43" s="612" t="n"/>
      <c r="E43" s="617" t="n">
        <v>1969</v>
      </c>
      <c r="F43" s="614" t="n">
        <v>1</v>
      </c>
      <c r="G43" s="614" t="n">
        <v>1</v>
      </c>
      <c r="H43" s="615" t="inlineStr">
        <is>
          <t>Đạt</t>
        </is>
      </c>
      <c r="I43" s="615" t="inlineStr">
        <is>
          <t>Đủ</t>
        </is>
      </c>
      <c r="J43" s="616" t="n"/>
    </row>
    <row r="44"/>
    <row r="45"/>
    <row r="46" ht="15.4" customHeight="1" s="393">
      <c r="H46" s="620" t="inlineStr">
        <is>
          <t xml:space="preserve">Đăk Tô, ngày     tháng     năm 2023  </t>
        </is>
      </c>
    </row>
    <row r="47" ht="15.4" customHeight="1" s="393">
      <c r="C47" s="600" t="inlineStr">
        <is>
          <t>TỔ ĐÀO TẠO NGHỀ - DỊCH VỤ</t>
        </is>
      </c>
      <c r="D47" s="600" t="n"/>
      <c r="H47" s="599" t="inlineStr">
        <is>
          <t>NGƯỜI XÉT</t>
        </is>
      </c>
    </row>
    <row r="48"/>
    <row r="49"/>
    <row r="50"/>
    <row r="51"/>
    <row r="52"/>
    <row r="53" ht="15.4" customHeight="1" s="393">
      <c r="H53" s="599" t="inlineStr">
        <is>
          <t>Trần Minh Vụ</t>
        </is>
      </c>
    </row>
  </sheetData>
  <mergeCells count="12">
    <mergeCell ref="A2:F2"/>
    <mergeCell ref="A5:J5"/>
    <mergeCell ref="H46:J46"/>
    <mergeCell ref="G3:J3"/>
    <mergeCell ref="A6:J6"/>
    <mergeCell ref="A1:F1"/>
    <mergeCell ref="H47:J47"/>
    <mergeCell ref="A7:J7"/>
    <mergeCell ref="G2:J2"/>
    <mergeCell ref="G1:J1"/>
    <mergeCell ref="A3:F3"/>
    <mergeCell ref="H53:J53"/>
  </mergeCells>
  <dataValidations count="1">
    <dataValidation sqref="F7:F9" showDropDown="0" showInputMessage="0" showErrorMessage="1" allowBlank="1" type="list" errorStyle="stop" operator="between">
      <formula1>"Đủ điều kiện,Không đủ điều kiện"</formula1>
      <formula2>0</formula2>
    </dataValidation>
  </dataValidations>
  <printOptions horizontalCentered="0" verticalCentered="0" headings="0" gridLines="0" gridLinesSet="1"/>
  <pageMargins left="0.420138888888889" right="0.390277777777778" top="0.490277777777778" bottom="0.409722222222222"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7" activeCellId="0" sqref="A7:I7"/>
    </sheetView>
  </sheetViews>
  <sheetFormatPr baseColWidth="8" defaultColWidth="8.99609375" defaultRowHeight="14.25" zeroHeight="0" outlineLevelRow="0"/>
  <cols>
    <col width="4.68" customWidth="1" style="597" min="1" max="1"/>
    <col width="12.93" customWidth="1" style="597" min="2" max="2"/>
    <col width="14.31" customWidth="1" style="597" min="3" max="4"/>
    <col width="9.800000000000001" customWidth="1" style="597" min="5" max="5"/>
    <col width="10.06" customWidth="1" style="597" min="6" max="6"/>
    <col width="14.74" customWidth="1" style="597" min="7" max="7"/>
    <col width="10.06" customWidth="1" style="597" min="8" max="8"/>
    <col width="26.12" customWidth="1" style="597" min="9" max="9"/>
    <col width="8.99" customWidth="1" style="597" min="10" max="257"/>
  </cols>
  <sheetData>
    <row r="1" ht="15.4" customFormat="1" customHeight="1" s="598">
      <c r="A1" s="511" t="inlineStr">
        <is>
          <t>SỞ GIÁO DỤC VÀ ĐÀO TẠO TỈNH QUẢNG NGÃI</t>
        </is>
      </c>
      <c r="G1" s="599" t="inlineStr">
        <is>
          <t xml:space="preserve">   CỘNG HÒA XÃ HỘI CHỦ NGHĨA VIỆT NAM</t>
        </is>
      </c>
      <c r="J1" s="600" t="n"/>
      <c r="K1" s="600" t="n"/>
      <c r="L1" s="600" t="n"/>
      <c r="M1" s="600" t="n"/>
    </row>
    <row r="2" ht="16.5" customFormat="1" customHeight="1" s="601">
      <c r="A2" s="513" t="inlineStr">
        <is>
          <t>TRUNG TÂM GDNN-GDTX KHU VỰC ĐĂK HÀ</t>
        </is>
      </c>
      <c r="G2" s="602" t="inlineStr">
        <is>
          <t xml:space="preserve"> Độc lập - Tự do - Hạnh phúc</t>
        </is>
      </c>
      <c r="J2" s="603" t="n"/>
      <c r="K2" s="603" t="n"/>
      <c r="L2" s="603" t="n"/>
      <c r="M2" s="603" t="n"/>
    </row>
    <row r="3" ht="7.5" customFormat="1" customHeight="1" s="598">
      <c r="A3" s="599" t="inlineStr">
        <is>
          <t>____________</t>
        </is>
      </c>
      <c r="G3" s="599" t="inlineStr">
        <is>
          <t>_______________________</t>
        </is>
      </c>
      <c r="J3" s="600" t="n"/>
      <c r="K3" s="600" t="n"/>
      <c r="L3" s="600" t="n"/>
      <c r="M3" s="600" t="n"/>
    </row>
    <row r="4"/>
    <row r="5" ht="17.65" customFormat="1" customHeight="1" s="604">
      <c r="A5" s="605" t="inlineStr">
        <is>
          <t xml:space="preserve">BẢNG XÉT ĐIỀU KIỆN DỰ KIỂM TRA KẾT THÚC MÔ ĐUN </t>
        </is>
      </c>
    </row>
    <row r="6" ht="24.75" customFormat="1" customHeight="1" s="604">
      <c r="A6" s="621">
        <f>"Lớp Đào tạo Nghề: "&amp;UPPER('KHÓA HỌC'!D5)&amp;"; Khóa: "&amp;'KHÓA HỌC'!D3&amp;"; Năm "&amp;'KHÓA HỌC'!D4</f>
        <v/>
      </c>
    </row>
    <row r="7" ht="17.65" customFormat="1" customHeight="1" s="604">
      <c r="A7" s="606" t="inlineStr">
        <is>
          <t>Mô đun: Mã mô đun: Tên mô đun</t>
        </is>
      </c>
    </row>
    <row r="8" ht="17.65" customFormat="1" customHeight="1" s="604"/>
    <row r="9" ht="67.5" customHeight="1" s="393">
      <c r="A9" s="607" t="inlineStr">
        <is>
          <t>STT</t>
        </is>
      </c>
      <c r="B9" s="607" t="inlineStr">
        <is>
          <t>Mã
HV</t>
        </is>
      </c>
      <c r="C9" s="607" t="inlineStr">
        <is>
          <t>Họ và tên</t>
        </is>
      </c>
      <c r="D9" s="607" t="n"/>
      <c r="E9" s="607" t="inlineStr">
        <is>
          <t>Năm sinh</t>
        </is>
      </c>
      <c r="F9" s="607" t="inlineStr">
        <is>
          <t>Điểm kiểm tra các tín chỉ đạt từ 5,0 điểm trở lên</t>
        </is>
      </c>
      <c r="G9" s="607" t="inlineStr">
        <is>
          <t>Có/không đang trong thời gian bị truy cứu trách nhiệm hình sự</t>
        </is>
      </c>
      <c r="H9" s="607" t="inlineStr">
        <is>
          <t>Đủ kiểm tra kết thúc mô đun</t>
        </is>
      </c>
      <c r="I9" s="607" t="inlineStr">
        <is>
          <t xml:space="preserve">Lý do
Không đủ điều kiện kiểm tra kết thúc mô đun
</t>
        </is>
      </c>
    </row>
    <row r="10" ht="16.9" customFormat="1" customHeight="1" s="609">
      <c r="A10" s="610">
        <f>'Thông tin HV'!A2</f>
        <v/>
      </c>
      <c r="B10" s="611">
        <f>'Thông tin HV'!B2</f>
        <v/>
      </c>
      <c r="C10" s="612">
        <f>'Thông tin HV'!C2</f>
        <v/>
      </c>
      <c r="D10" s="612" t="n"/>
      <c r="E10" s="622">
        <f>'Thông tin HV'!E2</f>
        <v/>
      </c>
      <c r="F10" s="623" t="inlineStr">
        <is>
          <t>Đạt</t>
        </is>
      </c>
      <c r="G10" s="623" t="inlineStr">
        <is>
          <t>Không</t>
        </is>
      </c>
      <c r="H10" s="623" t="inlineStr">
        <is>
          <t>Đủ</t>
        </is>
      </c>
      <c r="I10" s="615" t="n"/>
    </row>
    <row r="11" ht="16.9" customFormat="1" customHeight="1" s="609">
      <c r="A11" s="610">
        <f>'Thông tin HV'!A3</f>
        <v/>
      </c>
      <c r="B11" s="611">
        <f>'Thông tin HV'!B3</f>
        <v/>
      </c>
      <c r="C11" s="612">
        <f>'Thông tin HV'!C3</f>
        <v/>
      </c>
      <c r="D11" s="612" t="n"/>
      <c r="E11" s="622">
        <f>'Thông tin HV'!E3</f>
        <v/>
      </c>
      <c r="F11" s="623" t="inlineStr">
        <is>
          <t>Đạt</t>
        </is>
      </c>
      <c r="G11" s="623" t="inlineStr">
        <is>
          <t>Không</t>
        </is>
      </c>
      <c r="H11" s="623" t="inlineStr">
        <is>
          <t>Đủ</t>
        </is>
      </c>
      <c r="I11" s="615" t="n"/>
    </row>
    <row r="12" ht="16.9" customFormat="1" customHeight="1" s="609">
      <c r="A12" s="610">
        <f>'Thông tin HV'!A4</f>
        <v/>
      </c>
      <c r="B12" s="611">
        <f>'Thông tin HV'!B4</f>
        <v/>
      </c>
      <c r="C12" s="612">
        <f>'Thông tin HV'!C4</f>
        <v/>
      </c>
      <c r="D12" s="612" t="n"/>
      <c r="E12" s="622">
        <f>'Thông tin HV'!E4</f>
        <v/>
      </c>
      <c r="F12" s="623" t="inlineStr">
        <is>
          <t>Đạt</t>
        </is>
      </c>
      <c r="G12" s="623" t="inlineStr">
        <is>
          <t>Không</t>
        </is>
      </c>
      <c r="H12" s="623" t="inlineStr">
        <is>
          <t>Đủ</t>
        </is>
      </c>
      <c r="I12" s="615" t="n"/>
    </row>
    <row r="13" ht="16.9" customFormat="1" customHeight="1" s="609">
      <c r="A13" s="610">
        <f>'Thông tin HV'!A5</f>
        <v/>
      </c>
      <c r="B13" s="611">
        <f>'Thông tin HV'!B5</f>
        <v/>
      </c>
      <c r="C13" s="612">
        <f>'Thông tin HV'!C5</f>
        <v/>
      </c>
      <c r="D13" s="612" t="n"/>
      <c r="E13" s="622">
        <f>'Thông tin HV'!E5</f>
        <v/>
      </c>
      <c r="F13" s="623" t="inlineStr">
        <is>
          <t>Đạt</t>
        </is>
      </c>
      <c r="G13" s="623" t="inlineStr">
        <is>
          <t>Không</t>
        </is>
      </c>
      <c r="H13" s="623" t="inlineStr">
        <is>
          <t>Đủ</t>
        </is>
      </c>
      <c r="I13" s="615" t="n"/>
    </row>
    <row r="14" ht="16.9" customFormat="1" customHeight="1" s="609">
      <c r="A14" s="610">
        <f>'Thông tin HV'!A6</f>
        <v/>
      </c>
      <c r="B14" s="611">
        <f>'Thông tin HV'!B6</f>
        <v/>
      </c>
      <c r="C14" s="612">
        <f>'Thông tin HV'!C6</f>
        <v/>
      </c>
      <c r="D14" s="612" t="n"/>
      <c r="E14" s="622">
        <f>'Thông tin HV'!E6</f>
        <v/>
      </c>
      <c r="F14" s="623" t="inlineStr">
        <is>
          <t>Đạt</t>
        </is>
      </c>
      <c r="G14" s="623" t="inlineStr">
        <is>
          <t>Không</t>
        </is>
      </c>
      <c r="H14" s="623" t="inlineStr">
        <is>
          <t>Đủ</t>
        </is>
      </c>
      <c r="I14" s="615" t="n"/>
    </row>
    <row r="15" ht="16.9" customFormat="1" customHeight="1" s="609">
      <c r="A15" s="610">
        <f>'Thông tin HV'!A7</f>
        <v/>
      </c>
      <c r="B15" s="611">
        <f>'Thông tin HV'!B7</f>
        <v/>
      </c>
      <c r="C15" s="612">
        <f>'Thông tin HV'!C7</f>
        <v/>
      </c>
      <c r="D15" s="612" t="n"/>
      <c r="E15" s="622">
        <f>'Thông tin HV'!E7</f>
        <v/>
      </c>
      <c r="F15" s="623" t="inlineStr">
        <is>
          <t>Đạt</t>
        </is>
      </c>
      <c r="G15" s="623" t="inlineStr">
        <is>
          <t>Không</t>
        </is>
      </c>
      <c r="H15" s="623" t="inlineStr">
        <is>
          <t>Đủ</t>
        </is>
      </c>
      <c r="I15" s="615" t="n"/>
    </row>
    <row r="16" ht="16.9" customFormat="1" customHeight="1" s="609">
      <c r="A16" s="610">
        <f>'Thông tin HV'!A8</f>
        <v/>
      </c>
      <c r="B16" s="611">
        <f>'Thông tin HV'!B8</f>
        <v/>
      </c>
      <c r="C16" s="612">
        <f>'Thông tin HV'!C8</f>
        <v/>
      </c>
      <c r="D16" s="612" t="n"/>
      <c r="E16" s="622">
        <f>'Thông tin HV'!E8</f>
        <v/>
      </c>
      <c r="F16" s="623" t="inlineStr">
        <is>
          <t>Đạt</t>
        </is>
      </c>
      <c r="G16" s="623" t="inlineStr">
        <is>
          <t>Không</t>
        </is>
      </c>
      <c r="H16" s="623" t="inlineStr">
        <is>
          <t>Đủ</t>
        </is>
      </c>
      <c r="I16" s="615" t="n"/>
    </row>
    <row r="17" ht="16.9" customFormat="1" customHeight="1" s="609">
      <c r="A17" s="610">
        <f>'Thông tin HV'!A9</f>
        <v/>
      </c>
      <c r="B17" s="611">
        <f>'Thông tin HV'!B9</f>
        <v/>
      </c>
      <c r="C17" s="612">
        <f>'Thông tin HV'!C9</f>
        <v/>
      </c>
      <c r="D17" s="612" t="n"/>
      <c r="E17" s="622">
        <f>'Thông tin HV'!E9</f>
        <v/>
      </c>
      <c r="F17" s="623" t="inlineStr">
        <is>
          <t>Đạt</t>
        </is>
      </c>
      <c r="G17" s="623" t="inlineStr">
        <is>
          <t>Không</t>
        </is>
      </c>
      <c r="H17" s="623" t="inlineStr">
        <is>
          <t>Đủ</t>
        </is>
      </c>
      <c r="I17" s="615" t="n"/>
    </row>
    <row r="18" ht="16.9" customFormat="1" customHeight="1" s="609">
      <c r="A18" s="610">
        <f>'Thông tin HV'!A10</f>
        <v/>
      </c>
      <c r="B18" s="611">
        <f>'Thông tin HV'!B10</f>
        <v/>
      </c>
      <c r="C18" s="612">
        <f>'Thông tin HV'!C10</f>
        <v/>
      </c>
      <c r="D18" s="612" t="n"/>
      <c r="E18" s="622">
        <f>'Thông tin HV'!E10</f>
        <v/>
      </c>
      <c r="F18" s="623" t="inlineStr">
        <is>
          <t>Đạt</t>
        </is>
      </c>
      <c r="G18" s="623" t="inlineStr">
        <is>
          <t>Không</t>
        </is>
      </c>
      <c r="H18" s="623" t="inlineStr">
        <is>
          <t>Đủ</t>
        </is>
      </c>
      <c r="I18" s="615" t="n"/>
    </row>
    <row r="19" ht="16.9" customFormat="1" customHeight="1" s="609">
      <c r="A19" s="610">
        <f>'Thông tin HV'!A11</f>
        <v/>
      </c>
      <c r="B19" s="611">
        <f>'Thông tin HV'!B11</f>
        <v/>
      </c>
      <c r="C19" s="612">
        <f>'Thông tin HV'!C11</f>
        <v/>
      </c>
      <c r="D19" s="612" t="n"/>
      <c r="E19" s="622">
        <f>'Thông tin HV'!E11</f>
        <v/>
      </c>
      <c r="F19" s="623" t="inlineStr">
        <is>
          <t>Đạt</t>
        </is>
      </c>
      <c r="G19" s="623" t="inlineStr">
        <is>
          <t>Không</t>
        </is>
      </c>
      <c r="H19" s="623" t="inlineStr">
        <is>
          <t>Đủ</t>
        </is>
      </c>
      <c r="I19" s="615" t="n"/>
    </row>
    <row r="20" ht="16.9" customFormat="1" customHeight="1" s="609">
      <c r="A20" s="610">
        <f>'Thông tin HV'!A12</f>
        <v/>
      </c>
      <c r="B20" s="611">
        <f>'Thông tin HV'!B12</f>
        <v/>
      </c>
      <c r="C20" s="612">
        <f>'Thông tin HV'!C12</f>
        <v/>
      </c>
      <c r="D20" s="612" t="n"/>
      <c r="E20" s="622">
        <f>'Thông tin HV'!E12</f>
        <v/>
      </c>
      <c r="F20" s="623" t="inlineStr">
        <is>
          <t>Đạt</t>
        </is>
      </c>
      <c r="G20" s="623" t="inlineStr">
        <is>
          <t>Không</t>
        </is>
      </c>
      <c r="H20" s="623" t="inlineStr">
        <is>
          <t>Đủ</t>
        </is>
      </c>
      <c r="I20" s="615" t="n"/>
    </row>
    <row r="21" ht="16.9" customFormat="1" customHeight="1" s="609">
      <c r="A21" s="610">
        <f>'Thông tin HV'!A13</f>
        <v/>
      </c>
      <c r="B21" s="611">
        <f>'Thông tin HV'!B13</f>
        <v/>
      </c>
      <c r="C21" s="612">
        <f>'Thông tin HV'!C13</f>
        <v/>
      </c>
      <c r="D21" s="612" t="n"/>
      <c r="E21" s="622">
        <f>'Thông tin HV'!E13</f>
        <v/>
      </c>
      <c r="F21" s="623" t="inlineStr">
        <is>
          <t>Đạt</t>
        </is>
      </c>
      <c r="G21" s="623" t="inlineStr">
        <is>
          <t>Không</t>
        </is>
      </c>
      <c r="H21" s="623" t="inlineStr">
        <is>
          <t>Đủ</t>
        </is>
      </c>
      <c r="I21" s="615" t="n"/>
    </row>
    <row r="22" ht="16.9" customFormat="1" customHeight="1" s="609">
      <c r="A22" s="610">
        <f>'Thông tin HV'!A14</f>
        <v/>
      </c>
      <c r="B22" s="611">
        <f>'Thông tin HV'!B14</f>
        <v/>
      </c>
      <c r="C22" s="612">
        <f>'Thông tin HV'!C14</f>
        <v/>
      </c>
      <c r="D22" s="612" t="n"/>
      <c r="E22" s="622">
        <f>'Thông tin HV'!E14</f>
        <v/>
      </c>
      <c r="F22" s="623" t="inlineStr">
        <is>
          <t>Đạt</t>
        </is>
      </c>
      <c r="G22" s="623" t="inlineStr">
        <is>
          <t>Không</t>
        </is>
      </c>
      <c r="H22" s="623" t="inlineStr">
        <is>
          <t>Đủ</t>
        </is>
      </c>
      <c r="I22" s="615" t="n"/>
    </row>
    <row r="23" ht="16.9" customFormat="1" customHeight="1" s="609">
      <c r="A23" s="610">
        <f>'Thông tin HV'!A15</f>
        <v/>
      </c>
      <c r="B23" s="611">
        <f>'Thông tin HV'!B15</f>
        <v/>
      </c>
      <c r="C23" s="612">
        <f>'Thông tin HV'!C15</f>
        <v/>
      </c>
      <c r="D23" s="612" t="n"/>
      <c r="E23" s="622">
        <f>'Thông tin HV'!E15</f>
        <v/>
      </c>
      <c r="F23" s="623" t="inlineStr">
        <is>
          <t>Đạt</t>
        </is>
      </c>
      <c r="G23" s="623" t="inlineStr">
        <is>
          <t>Không</t>
        </is>
      </c>
      <c r="H23" s="623" t="inlineStr">
        <is>
          <t>Đủ</t>
        </is>
      </c>
      <c r="I23" s="615" t="n"/>
    </row>
    <row r="24" ht="16.9" customFormat="1" customHeight="1" s="609">
      <c r="A24" s="610">
        <f>'Thông tin HV'!A16</f>
        <v/>
      </c>
      <c r="B24" s="611">
        <f>'Thông tin HV'!B16</f>
        <v/>
      </c>
      <c r="C24" s="612">
        <f>'Thông tin HV'!C16</f>
        <v/>
      </c>
      <c r="D24" s="612" t="n"/>
      <c r="E24" s="622">
        <f>'Thông tin HV'!E16</f>
        <v/>
      </c>
      <c r="F24" s="623" t="inlineStr">
        <is>
          <t>Đạt</t>
        </is>
      </c>
      <c r="G24" s="623" t="inlineStr">
        <is>
          <t>Không</t>
        </is>
      </c>
      <c r="H24" s="623" t="inlineStr">
        <is>
          <t>Đủ</t>
        </is>
      </c>
      <c r="I24" s="615" t="n"/>
    </row>
    <row r="25" ht="16.9" customFormat="1" customHeight="1" s="609">
      <c r="A25" s="610">
        <f>'Thông tin HV'!A17</f>
        <v/>
      </c>
      <c r="B25" s="611">
        <f>'Thông tin HV'!B17</f>
        <v/>
      </c>
      <c r="C25" s="612">
        <f>'Thông tin HV'!C17</f>
        <v/>
      </c>
      <c r="D25" s="612" t="n"/>
      <c r="E25" s="622">
        <f>'Thông tin HV'!E17</f>
        <v/>
      </c>
      <c r="F25" s="623" t="inlineStr">
        <is>
          <t>Không</t>
        </is>
      </c>
      <c r="G25" s="623" t="inlineStr">
        <is>
          <t>Không</t>
        </is>
      </c>
      <c r="H25" s="623" t="inlineStr">
        <is>
          <t>Không</t>
        </is>
      </c>
      <c r="I25" s="615" t="inlineStr">
        <is>
          <t>Bỏ học giữa chừng</t>
        </is>
      </c>
    </row>
    <row r="26" ht="16.9" customFormat="1" customHeight="1" s="609">
      <c r="A26" s="610">
        <f>'Thông tin HV'!A18</f>
        <v/>
      </c>
      <c r="B26" s="611">
        <f>'Thông tin HV'!B18</f>
        <v/>
      </c>
      <c r="C26" s="612">
        <f>'Thông tin HV'!C18</f>
        <v/>
      </c>
      <c r="D26" s="612" t="n"/>
      <c r="E26" s="622">
        <f>'Thông tin HV'!E18</f>
        <v/>
      </c>
      <c r="F26" s="623" t="inlineStr">
        <is>
          <t>Đạt</t>
        </is>
      </c>
      <c r="G26" s="623" t="inlineStr">
        <is>
          <t>Không</t>
        </is>
      </c>
      <c r="H26" s="623" t="inlineStr">
        <is>
          <t>Đủ</t>
        </is>
      </c>
      <c r="I26" s="615" t="n"/>
    </row>
    <row r="27" ht="16.9" customFormat="1" customHeight="1" s="609">
      <c r="A27" s="610">
        <f>'Thông tin HV'!A19</f>
        <v/>
      </c>
      <c r="B27" s="611">
        <f>'Thông tin HV'!B19</f>
        <v/>
      </c>
      <c r="C27" s="612">
        <f>'Thông tin HV'!C19</f>
        <v/>
      </c>
      <c r="D27" s="612" t="n"/>
      <c r="E27" s="622">
        <f>'Thông tin HV'!E19</f>
        <v/>
      </c>
      <c r="F27" s="623" t="inlineStr">
        <is>
          <t>Đạt</t>
        </is>
      </c>
      <c r="G27" s="623" t="inlineStr">
        <is>
          <t>Không</t>
        </is>
      </c>
      <c r="H27" s="623" t="inlineStr">
        <is>
          <t>Đủ</t>
        </is>
      </c>
      <c r="I27" s="615" t="n"/>
    </row>
    <row r="28" ht="16.9" customFormat="1" customHeight="1" s="609">
      <c r="A28" s="610">
        <f>'Thông tin HV'!A20</f>
        <v/>
      </c>
      <c r="B28" s="611">
        <f>'Thông tin HV'!B20</f>
        <v/>
      </c>
      <c r="C28" s="612">
        <f>'Thông tin HV'!C20</f>
        <v/>
      </c>
      <c r="D28" s="612" t="n"/>
      <c r="E28" s="622">
        <f>'Thông tin HV'!E20</f>
        <v/>
      </c>
      <c r="F28" s="623" t="inlineStr">
        <is>
          <t>Đạt</t>
        </is>
      </c>
      <c r="G28" s="623" t="inlineStr">
        <is>
          <t>Không</t>
        </is>
      </c>
      <c r="H28" s="623" t="inlineStr">
        <is>
          <t>Đủ</t>
        </is>
      </c>
      <c r="I28" s="615" t="n"/>
    </row>
    <row r="29" ht="16.9" customFormat="1" customHeight="1" s="609">
      <c r="A29" s="610">
        <f>'Thông tin HV'!A21</f>
        <v/>
      </c>
      <c r="B29" s="611">
        <f>'Thông tin HV'!B21</f>
        <v/>
      </c>
      <c r="C29" s="612">
        <f>'Thông tin HV'!C21</f>
        <v/>
      </c>
      <c r="D29" s="612" t="n"/>
      <c r="E29" s="622">
        <f>'Thông tin HV'!E21</f>
        <v/>
      </c>
      <c r="F29" s="623" t="inlineStr">
        <is>
          <t>Đạt</t>
        </is>
      </c>
      <c r="G29" s="623" t="inlineStr">
        <is>
          <t>Không</t>
        </is>
      </c>
      <c r="H29" s="623" t="inlineStr">
        <is>
          <t>Đủ</t>
        </is>
      </c>
      <c r="I29" s="615" t="n"/>
    </row>
    <row r="30" ht="16.9" customFormat="1" customHeight="1" s="609">
      <c r="A30" s="610">
        <f>'Thông tin HV'!A22</f>
        <v/>
      </c>
      <c r="B30" s="611">
        <f>'Thông tin HV'!B22</f>
        <v/>
      </c>
      <c r="C30" s="612">
        <f>'Thông tin HV'!C22</f>
        <v/>
      </c>
      <c r="D30" s="612" t="n"/>
      <c r="E30" s="622">
        <f>'Thông tin HV'!E22</f>
        <v/>
      </c>
      <c r="F30" s="623" t="inlineStr">
        <is>
          <t>Đạt</t>
        </is>
      </c>
      <c r="G30" s="623" t="inlineStr">
        <is>
          <t>Không</t>
        </is>
      </c>
      <c r="H30" s="623" t="inlineStr">
        <is>
          <t>Đủ</t>
        </is>
      </c>
      <c r="I30" s="615" t="n"/>
    </row>
    <row r="31" ht="16.9" customFormat="1" customHeight="1" s="609">
      <c r="A31" s="610">
        <f>'Thông tin HV'!A23</f>
        <v/>
      </c>
      <c r="B31" s="611">
        <f>'Thông tin HV'!B23</f>
        <v/>
      </c>
      <c r="C31" s="612">
        <f>'Thông tin HV'!C23</f>
        <v/>
      </c>
      <c r="D31" s="612" t="n"/>
      <c r="E31" s="622">
        <f>'Thông tin HV'!E23</f>
        <v/>
      </c>
      <c r="F31" s="623" t="inlineStr">
        <is>
          <t>Đạt</t>
        </is>
      </c>
      <c r="G31" s="623" t="inlineStr">
        <is>
          <t>Không</t>
        </is>
      </c>
      <c r="H31" s="623" t="inlineStr">
        <is>
          <t>Đủ</t>
        </is>
      </c>
      <c r="I31" s="615" t="n"/>
    </row>
    <row r="32" ht="16.9" customFormat="1" customHeight="1" s="609">
      <c r="A32" s="610">
        <f>'Thông tin HV'!A24</f>
        <v/>
      </c>
      <c r="B32" s="611">
        <f>'Thông tin HV'!B24</f>
        <v/>
      </c>
      <c r="C32" s="612">
        <f>'Thông tin HV'!C24</f>
        <v/>
      </c>
      <c r="D32" s="612" t="n"/>
      <c r="E32" s="622">
        <f>'Thông tin HV'!E24</f>
        <v/>
      </c>
      <c r="F32" s="623" t="inlineStr">
        <is>
          <t>Đạt</t>
        </is>
      </c>
      <c r="G32" s="623" t="inlineStr">
        <is>
          <t>Không</t>
        </is>
      </c>
      <c r="H32" s="623" t="inlineStr">
        <is>
          <t>Đủ</t>
        </is>
      </c>
      <c r="I32" s="615" t="n"/>
    </row>
    <row r="33" ht="16.9" customFormat="1" customHeight="1" s="609">
      <c r="A33" s="610">
        <f>'Thông tin HV'!A25</f>
        <v/>
      </c>
      <c r="B33" s="611">
        <f>'Thông tin HV'!B25</f>
        <v/>
      </c>
      <c r="C33" s="612">
        <f>'Thông tin HV'!C25</f>
        <v/>
      </c>
      <c r="D33" s="612" t="n"/>
      <c r="E33" s="622">
        <f>'Thông tin HV'!E25</f>
        <v/>
      </c>
      <c r="F33" s="623" t="inlineStr">
        <is>
          <t>Đạt</t>
        </is>
      </c>
      <c r="G33" s="623" t="inlineStr">
        <is>
          <t>Không</t>
        </is>
      </c>
      <c r="H33" s="623" t="inlineStr">
        <is>
          <t>Đủ</t>
        </is>
      </c>
      <c r="I33" s="615" t="n"/>
    </row>
    <row r="34" ht="16.9" customFormat="1" customHeight="1" s="609">
      <c r="A34" s="610">
        <f>'Thông tin HV'!A26</f>
        <v/>
      </c>
      <c r="B34" s="611">
        <f>'Thông tin HV'!B26</f>
        <v/>
      </c>
      <c r="C34" s="612">
        <f>'Thông tin HV'!C26</f>
        <v/>
      </c>
      <c r="D34" s="612" t="n"/>
      <c r="E34" s="622">
        <f>'Thông tin HV'!E26</f>
        <v/>
      </c>
      <c r="F34" s="623" t="inlineStr">
        <is>
          <t>Đạt</t>
        </is>
      </c>
      <c r="G34" s="623" t="inlineStr">
        <is>
          <t>Không</t>
        </is>
      </c>
      <c r="H34" s="623" t="inlineStr">
        <is>
          <t>Đủ</t>
        </is>
      </c>
      <c r="I34" s="615" t="n"/>
    </row>
    <row r="35" ht="16.9" customFormat="1" customHeight="1" s="609">
      <c r="A35" s="610">
        <f>'Thông tin HV'!A27</f>
        <v/>
      </c>
      <c r="B35" s="611">
        <f>'Thông tin HV'!B27</f>
        <v/>
      </c>
      <c r="C35" s="612">
        <f>'Thông tin HV'!C27</f>
        <v/>
      </c>
      <c r="D35" s="612" t="n"/>
      <c r="E35" s="622">
        <f>'Thông tin HV'!E27</f>
        <v/>
      </c>
      <c r="F35" s="623" t="inlineStr">
        <is>
          <t>Đạt</t>
        </is>
      </c>
      <c r="G35" s="623" t="inlineStr">
        <is>
          <t>Không</t>
        </is>
      </c>
      <c r="H35" s="623" t="inlineStr">
        <is>
          <t>Đủ</t>
        </is>
      </c>
      <c r="I35" s="615" t="n"/>
    </row>
    <row r="36" ht="16.9" customFormat="1" customHeight="1" s="609">
      <c r="A36" s="610">
        <f>'Thông tin HV'!A28</f>
        <v/>
      </c>
      <c r="B36" s="611">
        <f>'Thông tin HV'!B28</f>
        <v/>
      </c>
      <c r="C36" s="612">
        <f>'Thông tin HV'!C28</f>
        <v/>
      </c>
      <c r="D36" s="612" t="n"/>
      <c r="E36" s="622">
        <f>'Thông tin HV'!E28</f>
        <v/>
      </c>
      <c r="F36" s="623" t="inlineStr">
        <is>
          <t>Đạt</t>
        </is>
      </c>
      <c r="G36" s="623" t="inlineStr">
        <is>
          <t>Không</t>
        </is>
      </c>
      <c r="H36" s="623" t="inlineStr">
        <is>
          <t>Đủ</t>
        </is>
      </c>
      <c r="I36" s="615" t="n"/>
    </row>
    <row r="37" ht="16.9" customFormat="1" customHeight="1" s="609">
      <c r="A37" s="610">
        <f>'Thông tin HV'!A29</f>
        <v/>
      </c>
      <c r="B37" s="611">
        <f>'Thông tin HV'!B29</f>
        <v/>
      </c>
      <c r="C37" s="612">
        <f>'Thông tin HV'!C29</f>
        <v/>
      </c>
      <c r="D37" s="612" t="n"/>
      <c r="E37" s="622">
        <f>'Thông tin HV'!E29</f>
        <v/>
      </c>
      <c r="F37" s="623" t="inlineStr">
        <is>
          <t>Đạt</t>
        </is>
      </c>
      <c r="G37" s="623" t="inlineStr">
        <is>
          <t>Không</t>
        </is>
      </c>
      <c r="H37" s="623" t="inlineStr">
        <is>
          <t>Đủ</t>
        </is>
      </c>
      <c r="I37" s="615" t="n"/>
    </row>
    <row r="38" ht="16.9" customFormat="1" customHeight="1" s="609">
      <c r="A38" s="610">
        <f>'Thông tin HV'!A30</f>
        <v/>
      </c>
      <c r="B38" s="611">
        <f>'Thông tin HV'!B30</f>
        <v/>
      </c>
      <c r="C38" s="612">
        <f>'Thông tin HV'!C30</f>
        <v/>
      </c>
      <c r="D38" s="612" t="n"/>
      <c r="E38" s="622">
        <f>'Thông tin HV'!E30</f>
        <v/>
      </c>
      <c r="F38" s="623" t="inlineStr">
        <is>
          <t>Đạt</t>
        </is>
      </c>
      <c r="G38" s="623" t="inlineStr">
        <is>
          <t>Không</t>
        </is>
      </c>
      <c r="H38" s="623" t="inlineStr">
        <is>
          <t>Đủ</t>
        </is>
      </c>
      <c r="I38" s="615" t="n"/>
    </row>
    <row r="39" ht="16.9" customFormat="1" customHeight="1" s="609">
      <c r="A39" s="610">
        <f>'Thông tin HV'!A31</f>
        <v/>
      </c>
      <c r="B39" s="611">
        <f>'Thông tin HV'!B31</f>
        <v/>
      </c>
      <c r="C39" s="612">
        <f>'Thông tin HV'!C31</f>
        <v/>
      </c>
      <c r="D39" s="612" t="n"/>
      <c r="E39" s="622">
        <f>'Thông tin HV'!E31</f>
        <v/>
      </c>
      <c r="F39" s="623" t="inlineStr">
        <is>
          <t>Đạt</t>
        </is>
      </c>
      <c r="G39" s="623" t="inlineStr">
        <is>
          <t>Không</t>
        </is>
      </c>
      <c r="H39" s="623" t="inlineStr">
        <is>
          <t>Đủ</t>
        </is>
      </c>
      <c r="I39" s="615" t="n"/>
    </row>
    <row r="40" ht="16.9" customFormat="1" customHeight="1" s="609">
      <c r="A40" s="610">
        <f>'Thông tin HV'!A32</f>
        <v/>
      </c>
      <c r="B40" s="611">
        <f>'Thông tin HV'!B32</f>
        <v/>
      </c>
      <c r="C40" s="612">
        <f>'Thông tin HV'!C32</f>
        <v/>
      </c>
      <c r="D40" s="612" t="n"/>
      <c r="E40" s="622">
        <f>'Thông tin HV'!E32</f>
        <v/>
      </c>
      <c r="F40" s="623" t="inlineStr">
        <is>
          <t>Đạt</t>
        </is>
      </c>
      <c r="G40" s="623" t="inlineStr">
        <is>
          <t>Không</t>
        </is>
      </c>
      <c r="H40" s="623" t="inlineStr">
        <is>
          <t>Đủ</t>
        </is>
      </c>
      <c r="I40" s="615" t="n"/>
    </row>
    <row r="41" ht="16.9" customFormat="1" customHeight="1" s="609">
      <c r="A41" s="610">
        <f>'Thông tin HV'!A33</f>
        <v/>
      </c>
      <c r="B41" s="611">
        <f>'Thông tin HV'!B33</f>
        <v/>
      </c>
      <c r="C41" s="612">
        <f>'Thông tin HV'!C33</f>
        <v/>
      </c>
      <c r="D41" s="612" t="n"/>
      <c r="E41" s="622">
        <f>'Thông tin HV'!E33</f>
        <v/>
      </c>
      <c r="F41" s="623" t="inlineStr">
        <is>
          <t>Đạt</t>
        </is>
      </c>
      <c r="G41" s="623" t="inlineStr">
        <is>
          <t>Không</t>
        </is>
      </c>
      <c r="H41" s="623" t="inlineStr">
        <is>
          <t>Đủ</t>
        </is>
      </c>
      <c r="I41" s="615" t="n"/>
    </row>
    <row r="42" ht="16.9" customFormat="1" customHeight="1" s="609">
      <c r="A42" s="610">
        <f>'Thông tin HV'!A34</f>
        <v/>
      </c>
      <c r="B42" s="611">
        <f>'Thông tin HV'!B34</f>
        <v/>
      </c>
      <c r="C42" s="612">
        <f>'Thông tin HV'!C34</f>
        <v/>
      </c>
      <c r="D42" s="612" t="n"/>
      <c r="E42" s="622">
        <f>'Thông tin HV'!E34</f>
        <v/>
      </c>
      <c r="F42" s="623" t="inlineStr">
        <is>
          <t>Đạt</t>
        </is>
      </c>
      <c r="G42" s="623" t="inlineStr">
        <is>
          <t>Không</t>
        </is>
      </c>
      <c r="H42" s="623" t="inlineStr">
        <is>
          <t>Đủ</t>
        </is>
      </c>
      <c r="I42" s="615" t="n"/>
    </row>
    <row r="43" ht="16.9" customFormat="1" customHeight="1" s="609">
      <c r="A43" s="610">
        <f>'Thông tin HV'!A35</f>
        <v/>
      </c>
      <c r="B43" s="611">
        <f>'Thông tin HV'!B35</f>
        <v/>
      </c>
      <c r="C43" s="612">
        <f>'Thông tin HV'!C35</f>
        <v/>
      </c>
      <c r="D43" s="612" t="n"/>
      <c r="E43" s="622">
        <f>'Thông tin HV'!E35</f>
        <v/>
      </c>
      <c r="F43" s="623" t="inlineStr">
        <is>
          <t>Đạt</t>
        </is>
      </c>
      <c r="G43" s="623" t="inlineStr">
        <is>
          <t>Không</t>
        </is>
      </c>
      <c r="H43" s="623" t="inlineStr">
        <is>
          <t>Đủ</t>
        </is>
      </c>
      <c r="I43" s="615" t="n"/>
    </row>
    <row r="44" ht="16.9" customFormat="1" customHeight="1" s="609">
      <c r="A44" s="610">
        <f>'Thông tin HV'!A36</f>
        <v/>
      </c>
      <c r="B44" s="611">
        <f>'Thông tin HV'!B36</f>
        <v/>
      </c>
      <c r="C44" s="612">
        <f>'Thông tin HV'!C36</f>
        <v/>
      </c>
      <c r="D44" s="612" t="n"/>
      <c r="E44" s="622">
        <f>'Thông tin HV'!E36</f>
        <v/>
      </c>
      <c r="F44" s="623" t="inlineStr">
        <is>
          <t>Đạt</t>
        </is>
      </c>
      <c r="G44" s="623" t="inlineStr">
        <is>
          <t>Không</t>
        </is>
      </c>
      <c r="H44" s="623" t="inlineStr">
        <is>
          <t>Đủ</t>
        </is>
      </c>
      <c r="I44" s="615" t="n"/>
    </row>
    <row r="45" ht="16.9" customFormat="1" customHeight="1" s="609">
      <c r="A45" s="597" t="n"/>
      <c r="B45" s="597" t="n"/>
      <c r="C45" s="597" t="n"/>
      <c r="D45" s="597" t="n"/>
      <c r="E45" s="597" t="n"/>
      <c r="F45" s="597" t="n"/>
      <c r="G45" s="597" t="n"/>
      <c r="H45" s="597" t="n"/>
      <c r="I45" s="597" t="n"/>
    </row>
    <row r="46" ht="16.9" customFormat="1" customHeight="1" s="609">
      <c r="A46" s="597" t="n"/>
      <c r="B46" s="597" t="n"/>
      <c r="C46" s="600" t="inlineStr">
        <is>
          <t>TỔ ĐÀO TẠO NGHỀ - DỊCH VỤ</t>
        </is>
      </c>
      <c r="D46" s="600" t="n"/>
      <c r="E46" s="597" t="n"/>
      <c r="F46" s="597" t="n"/>
      <c r="G46" s="597" t="n"/>
      <c r="H46" s="620" t="inlineStr">
        <is>
          <t xml:space="preserve">Đăk Tô, ngày     tháng      năm 2023  </t>
        </is>
      </c>
    </row>
    <row r="47" ht="16.9" customFormat="1" customHeight="1" s="609">
      <c r="A47" s="597" t="n"/>
      <c r="B47" s="597" t="n"/>
      <c r="C47" s="597" t="n"/>
      <c r="D47" s="597" t="n"/>
      <c r="E47" s="597" t="n"/>
      <c r="F47" s="597" t="n"/>
      <c r="G47" s="597" t="n"/>
      <c r="H47" s="599" t="inlineStr">
        <is>
          <t>NGƯỜI XÉT</t>
        </is>
      </c>
    </row>
    <row r="48"/>
    <row r="49"/>
    <row r="50"/>
    <row r="51"/>
    <row r="52"/>
    <row r="53" ht="15.4" customHeight="1" s="393">
      <c r="H53" s="599" t="n"/>
    </row>
    <row r="54" ht="0.75" customHeight="1" s="393"/>
    <row r="55" hidden="1" ht="14.25" customHeight="1" s="393"/>
  </sheetData>
  <mergeCells count="12">
    <mergeCell ref="A2:F2"/>
    <mergeCell ref="G2:I2"/>
    <mergeCell ref="H53:I53"/>
    <mergeCell ref="A7:I7"/>
    <mergeCell ref="A5:I5"/>
    <mergeCell ref="H46:I46"/>
    <mergeCell ref="A3:F3"/>
    <mergeCell ref="A1:F1"/>
    <mergeCell ref="G3:I3"/>
    <mergeCell ref="A6:I6"/>
    <mergeCell ref="H47:I47"/>
    <mergeCell ref="G1:I1"/>
  </mergeCells>
  <conditionalFormatting sqref="H10:H44">
    <cfRule type="expression" rank="0" priority="2" equalAverage="0" aboveAverage="0" dxfId="0" text="" percent="0" bottom="0">
      <formula>NOT(ISERROR(SEARCH("Không",H10)))</formula>
    </cfRule>
    <cfRule type="expression" rank="0" priority="3" equalAverage="0" aboveAverage="0" dxfId="1" text="" percent="0" bottom="0">
      <formula>"Không"</formula>
    </cfRule>
  </conditionalFormatting>
  <dataValidations count="1">
    <dataValidation sqref="F7:F41" showDropDown="0" showInputMessage="0" showErrorMessage="1" allowBlank="1" type="list" errorStyle="stop" operator="between">
      <formula1>"Đủ điều kiện,Không đủ điều kiện"</formula1>
      <formula2>0</formula2>
    </dataValidation>
  </dataValidations>
  <printOptions horizontalCentered="0" verticalCentered="0" headings="0" gridLines="0" gridLinesSet="1"/>
  <pageMargins left="0.420138888888889" right="0.390277777777778" top="0.490277777777778" bottom="0.409722222222222"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5" activeCellId="0" sqref="A5:G5"/>
    </sheetView>
  </sheetViews>
  <sheetFormatPr baseColWidth="8" defaultColWidth="8.99609375" defaultRowHeight="14.25" zeroHeight="0" outlineLevelRow="0"/>
  <cols>
    <col width="4.68" customWidth="1" style="597" min="1" max="1"/>
    <col width="14.37" customWidth="1" style="597" min="2" max="2"/>
    <col width="17.24" customWidth="1" style="597" min="3" max="3"/>
    <col width="4.36" customWidth="1" style="597" min="4" max="4"/>
    <col width="9.119999999999999" customWidth="1" style="597" min="5" max="6"/>
    <col width="43.12" customWidth="1" style="597" min="7" max="7"/>
    <col width="3.31" customWidth="1" style="597" min="8" max="8"/>
    <col width="24.93" customWidth="1" style="597" min="9" max="9"/>
    <col width="8.56" customWidth="1" style="597" min="10" max="10"/>
    <col width="8.800000000000001" customWidth="1" style="597" min="11" max="11"/>
    <col width="8.99" customWidth="1" style="597" min="12" max="257"/>
  </cols>
  <sheetData>
    <row r="1" ht="15.4" customHeight="1" s="393">
      <c r="A1" s="624" t="inlineStr">
        <is>
          <t>SỞ GIÁO DỤC VÀ ĐÀO TẠO TỈNH QUẢNG NGÃI</t>
        </is>
      </c>
      <c r="F1" s="599" t="inlineStr">
        <is>
          <t xml:space="preserve">   CỘNG HÒA XÃ HỘI CHỦ NGHĨA VIỆT NAM</t>
        </is>
      </c>
    </row>
    <row r="2" ht="16.5" customHeight="1" s="393">
      <c r="A2" s="602" t="inlineStr">
        <is>
          <t>TRUNG TÂM GDNN-GDTX KHU VỰC ĐĂK HÀ</t>
        </is>
      </c>
      <c r="F2" s="602" t="inlineStr">
        <is>
          <t xml:space="preserve"> Độc lập - Tự do - Hạnh phúc</t>
        </is>
      </c>
    </row>
    <row r="3" ht="2.25" customHeight="1" s="393">
      <c r="A3" s="599" t="inlineStr">
        <is>
          <t>____________</t>
        </is>
      </c>
      <c r="F3" s="599" t="inlineStr">
        <is>
          <t>_______________________</t>
        </is>
      </c>
    </row>
    <row r="4" ht="17.25" customHeight="1" s="393">
      <c r="A4" s="605" t="inlineStr">
        <is>
          <t>PHIẾU CHẤM ĐIỂM</t>
        </is>
      </c>
      <c r="I4" s="625" t="inlineStr">
        <is>
          <t>Hãy bấm chọn mô đun kiểm tra</t>
        </is>
      </c>
    </row>
    <row r="5" ht="17.25" customHeight="1" s="393">
      <c r="A5" s="605" t="inlineStr">
        <is>
          <t>Kiểm tra kết thúc mô đun lần thứ nhất</t>
        </is>
      </c>
      <c r="I5" s="626" t="inlineStr">
        <is>
          <t>TMC01. Chăm sóc cây mắc ca</t>
        </is>
      </c>
    </row>
    <row r="6" ht="17.25" customHeight="1" s="393">
      <c r="A6" s="605">
        <f>"Kỳ kiểm tra kết thúc mô đun: "&amp;I5&amp;", ngày     tháng      năm "&amp;YEAR([1]HOME!C10)</f>
        <v/>
      </c>
    </row>
    <row r="7" ht="13.5" customHeight="1" s="393">
      <c r="A7" s="605" t="n"/>
      <c r="B7" s="605" t="n"/>
      <c r="C7" s="605" t="n"/>
      <c r="D7" s="605" t="n"/>
      <c r="E7" s="605" t="n"/>
      <c r="F7" s="605" t="n"/>
      <c r="G7" s="605" t="n"/>
    </row>
    <row r="8" ht="17.65" customHeight="1" s="393">
      <c r="A8" s="627" t="inlineStr">
        <is>
          <t>Địa điểm kiểm tra:</t>
        </is>
      </c>
      <c r="B8" s="604" t="n"/>
      <c r="C8" s="628" t="n"/>
      <c r="D8" s="629" t="n"/>
      <c r="E8" s="629" t="n"/>
      <c r="F8" s="629" t="n"/>
      <c r="G8" s="629" t="n"/>
    </row>
    <row r="9" ht="17.65" customHeight="1" s="393">
      <c r="A9" s="627" t="inlineStr">
        <is>
          <t>Lớp đào tạo nghề</t>
        </is>
      </c>
      <c r="B9" s="627" t="n"/>
      <c r="C9" s="630">
        <f>[1]HOME!C4&amp;" - Khóa "&amp;[1]HOME!C16&amp;", năm "&amp;YEAR([1]HOME!C10)</f>
        <v/>
      </c>
      <c r="D9" s="627" t="n"/>
      <c r="E9" s="627" t="n"/>
      <c r="F9" s="627" t="n"/>
      <c r="G9" s="627" t="n"/>
    </row>
    <row r="10" ht="17.65" customHeight="1" s="393">
      <c r="A10" s="627" t="inlineStr">
        <is>
          <t>Địa điểm mở lớp:</t>
        </is>
      </c>
      <c r="B10" s="604" t="n"/>
      <c r="C10" s="630">
        <f>[1]HOME!C14</f>
        <v/>
      </c>
      <c r="D10" s="604" t="n"/>
      <c r="E10" s="604" t="n"/>
      <c r="F10" s="604" t="n"/>
      <c r="G10" s="604" t="n"/>
    </row>
    <row r="11" ht="17.65" customHeight="1" s="393">
      <c r="A11" s="627" t="inlineStr">
        <is>
          <t>Thời gian đào tạo:</t>
        </is>
      </c>
      <c r="B11" s="604" t="n"/>
      <c r="C11" s="631">
        <f>[1]HOME!C8</f>
        <v/>
      </c>
      <c r="D11" s="604" t="n"/>
      <c r="E11" s="627" t="inlineStr">
        <is>
          <t>Trình độ đào tạo:</t>
        </is>
      </c>
      <c r="G11" s="630">
        <f>IF(C11&gt;=3,"Sơ cấp bậc 1","Đào tạo thường xuyên")</f>
        <v/>
      </c>
    </row>
    <row r="12" ht="17.65" customHeight="1" s="393">
      <c r="A12" s="627" t="inlineStr">
        <is>
          <t>Họ và tên Cán bộ chấm kiểm tra:</t>
        </is>
      </c>
      <c r="B12" s="604" t="n"/>
      <c r="C12" s="604" t="n"/>
      <c r="D12" s="629" t="n"/>
      <c r="E12" s="629" t="n"/>
      <c r="F12" s="629" t="n"/>
      <c r="G12" s="629" t="n"/>
    </row>
    <row r="13" ht="17.65" customHeight="1" s="393">
      <c r="A13" s="627" t="inlineStr">
        <is>
          <t>Mô đun kiểm tra:</t>
        </is>
      </c>
      <c r="B13" s="604" t="n"/>
      <c r="C13" s="630">
        <f>I5</f>
        <v/>
      </c>
      <c r="D13" s="604" t="n"/>
      <c r="E13" s="604" t="n"/>
      <c r="F13" s="604" t="n"/>
      <c r="G13" s="604" t="n"/>
    </row>
    <row r="14" ht="17.65" customHeight="1" s="393">
      <c r="A14" s="627" t="inlineStr">
        <is>
          <t>Hình thức kiểm tra: Thực hành.</t>
        </is>
      </c>
      <c r="B14" s="604" t="n"/>
      <c r="C14" s="604" t="n"/>
      <c r="D14" s="604" t="n"/>
      <c r="E14" s="604" t="n"/>
      <c r="F14" s="604" t="n"/>
      <c r="G14" s="604" t="n"/>
    </row>
    <row r="15" ht="12" customHeight="1" s="393">
      <c r="A15" s="632" t="n"/>
      <c r="B15" s="632" t="n"/>
      <c r="C15" s="632" t="n"/>
      <c r="D15" s="632" t="n"/>
      <c r="E15" s="632" t="n"/>
      <c r="F15" s="632" t="n"/>
      <c r="G15" s="632" t="n"/>
    </row>
    <row r="16" ht="16.5" customHeight="1" s="393">
      <c r="A16" s="607" t="inlineStr">
        <is>
          <t>STT</t>
        </is>
      </c>
      <c r="B16" s="607" t="inlineStr">
        <is>
          <t>Mã sô
học viên</t>
        </is>
      </c>
      <c r="C16" s="607" t="inlineStr">
        <is>
          <t>Họ và tên</t>
        </is>
      </c>
      <c r="D16" s="607" t="inlineStr">
        <is>
          <t>Đề
số</t>
        </is>
      </c>
      <c r="E16" s="633" t="inlineStr">
        <is>
          <t>Kết quả</t>
        </is>
      </c>
      <c r="F16" s="407" t="n"/>
      <c r="G16" s="607" t="inlineStr">
        <is>
          <t>Nhận xét</t>
        </is>
      </c>
    </row>
    <row r="17" ht="25.5" customHeight="1" s="393">
      <c r="A17" s="422" t="n"/>
      <c r="B17" s="422" t="n"/>
      <c r="C17" s="422" t="n"/>
      <c r="D17" s="422" t="n"/>
      <c r="E17" s="634" t="inlineStr">
        <is>
          <t>Đạt/Không đạt</t>
        </is>
      </c>
      <c r="F17" s="634" t="inlineStr">
        <is>
          <t>Điểm</t>
        </is>
      </c>
      <c r="G17" s="422" t="n"/>
    </row>
    <row r="18" ht="23.75" customFormat="1" customHeight="1" s="609">
      <c r="A18" s="635">
        <f>'Thông tin HV'!A2</f>
        <v/>
      </c>
      <c r="B18" s="635">
        <f>'Thông tin HV'!B2</f>
        <v/>
      </c>
      <c r="C18" s="636">
        <f>'Thông tin HV'!C2</f>
        <v/>
      </c>
      <c r="D18" s="637" t="n"/>
      <c r="E18" s="638" t="n"/>
      <c r="F18" s="638" t="n"/>
      <c r="G18" s="638" t="n"/>
    </row>
    <row r="19" ht="23.75" customFormat="1" customHeight="1" s="609">
      <c r="A19" s="639">
        <f>'Thông tin HV'!A3</f>
        <v/>
      </c>
      <c r="B19" s="639">
        <f>'Thông tin HV'!B3</f>
        <v/>
      </c>
      <c r="C19" s="640">
        <f>'Thông tin HV'!C3</f>
        <v/>
      </c>
      <c r="D19" s="641" t="n"/>
      <c r="E19" s="642" t="n"/>
      <c r="F19" s="642" t="n"/>
      <c r="G19" s="642" t="n"/>
    </row>
    <row r="20" ht="23.75" customFormat="1" customHeight="1" s="609">
      <c r="A20" s="639">
        <f>'Thông tin HV'!A4</f>
        <v/>
      </c>
      <c r="B20" s="639">
        <f>'Thông tin HV'!B4</f>
        <v/>
      </c>
      <c r="C20" s="640">
        <f>'Thông tin HV'!C4</f>
        <v/>
      </c>
      <c r="D20" s="641" t="n"/>
      <c r="E20" s="642" t="n"/>
      <c r="F20" s="642" t="n"/>
      <c r="G20" s="642" t="n"/>
    </row>
    <row r="21" ht="23.75" customFormat="1" customHeight="1" s="609">
      <c r="A21" s="639">
        <f>'Thông tin HV'!A5</f>
        <v/>
      </c>
      <c r="B21" s="639">
        <f>'Thông tin HV'!B5</f>
        <v/>
      </c>
      <c r="C21" s="640">
        <f>'Thông tin HV'!C5</f>
        <v/>
      </c>
      <c r="D21" s="641" t="n"/>
      <c r="E21" s="642" t="n"/>
      <c r="F21" s="642" t="n"/>
      <c r="G21" s="642" t="n"/>
    </row>
    <row r="22" ht="23.75" customFormat="1" customHeight="1" s="609">
      <c r="A22" s="643">
        <f>'Thông tin HV'!A6</f>
        <v/>
      </c>
      <c r="B22" s="643">
        <f>'Thông tin HV'!B6</f>
        <v/>
      </c>
      <c r="C22" s="644">
        <f>'Thông tin HV'!C6</f>
        <v/>
      </c>
      <c r="D22" s="645" t="n"/>
      <c r="E22" s="646" t="n"/>
      <c r="F22" s="646" t="n"/>
      <c r="G22" s="646" t="n"/>
    </row>
    <row r="23" ht="23.75" customFormat="1" customHeight="1" s="609">
      <c r="A23" s="635">
        <f>'Thông tin HV'!A7</f>
        <v/>
      </c>
      <c r="B23" s="635">
        <f>'Thông tin HV'!B7</f>
        <v/>
      </c>
      <c r="C23" s="636">
        <f>'Thông tin HV'!C7</f>
        <v/>
      </c>
      <c r="D23" s="637" t="n"/>
      <c r="E23" s="638" t="n"/>
      <c r="F23" s="638" t="n"/>
      <c r="G23" s="638" t="n"/>
    </row>
    <row r="24" ht="23.75" customFormat="1" customHeight="1" s="609">
      <c r="A24" s="639">
        <f>'Thông tin HV'!A8</f>
        <v/>
      </c>
      <c r="B24" s="639">
        <f>'Thông tin HV'!B8</f>
        <v/>
      </c>
      <c r="C24" s="640">
        <f>'Thông tin HV'!C8</f>
        <v/>
      </c>
      <c r="D24" s="641" t="n"/>
      <c r="E24" s="642" t="n"/>
      <c r="F24" s="642" t="n"/>
      <c r="G24" s="642" t="n"/>
    </row>
    <row r="25" ht="23.75" customFormat="1" customHeight="1" s="609">
      <c r="A25" s="639">
        <f>'Thông tin HV'!A9</f>
        <v/>
      </c>
      <c r="B25" s="639">
        <f>'Thông tin HV'!B9</f>
        <v/>
      </c>
      <c r="C25" s="640">
        <f>'Thông tin HV'!C9</f>
        <v/>
      </c>
      <c r="D25" s="641" t="n"/>
      <c r="E25" s="642" t="n"/>
      <c r="F25" s="642" t="n"/>
      <c r="G25" s="642" t="n"/>
    </row>
    <row r="26" ht="23.75" customFormat="1" customHeight="1" s="609">
      <c r="A26" s="639">
        <f>'Thông tin HV'!A10</f>
        <v/>
      </c>
      <c r="B26" s="639">
        <f>'Thông tin HV'!B10</f>
        <v/>
      </c>
      <c r="C26" s="640">
        <f>'Thông tin HV'!C10</f>
        <v/>
      </c>
      <c r="D26" s="641" t="n"/>
      <c r="E26" s="642" t="n"/>
      <c r="F26" s="642" t="n"/>
      <c r="G26" s="642" t="n"/>
    </row>
    <row r="27" ht="23.75" customFormat="1" customHeight="1" s="609">
      <c r="A27" s="643">
        <f>'Thông tin HV'!A11</f>
        <v/>
      </c>
      <c r="B27" s="643">
        <f>'Thông tin HV'!B11</f>
        <v/>
      </c>
      <c r="C27" s="644">
        <f>'Thông tin HV'!C11</f>
        <v/>
      </c>
      <c r="D27" s="645" t="n"/>
      <c r="E27" s="646" t="n"/>
      <c r="F27" s="646" t="n"/>
      <c r="G27" s="646" t="n"/>
    </row>
    <row r="28" ht="23.75" customFormat="1" customHeight="1" s="609">
      <c r="A28" s="635">
        <f>'Thông tin HV'!A12</f>
        <v/>
      </c>
      <c r="B28" s="635">
        <f>'Thông tin HV'!B12</f>
        <v/>
      </c>
      <c r="C28" s="636">
        <f>'Thông tin HV'!C12</f>
        <v/>
      </c>
      <c r="D28" s="637" t="n"/>
      <c r="E28" s="638" t="n"/>
      <c r="F28" s="638" t="n"/>
      <c r="G28" s="638" t="n"/>
    </row>
    <row r="29" ht="23.75" customFormat="1" customHeight="1" s="609">
      <c r="A29" s="639">
        <f>'Thông tin HV'!A13</f>
        <v/>
      </c>
      <c r="B29" s="639">
        <f>'Thông tin HV'!B13</f>
        <v/>
      </c>
      <c r="C29" s="640">
        <f>'Thông tin HV'!C13</f>
        <v/>
      </c>
      <c r="D29" s="641" t="n"/>
      <c r="E29" s="642" t="n"/>
      <c r="F29" s="642" t="n"/>
      <c r="G29" s="642" t="n"/>
    </row>
    <row r="30" ht="23.75" customFormat="1" customHeight="1" s="609">
      <c r="A30" s="639">
        <f>'Thông tin HV'!A14</f>
        <v/>
      </c>
      <c r="B30" s="639">
        <f>'Thông tin HV'!B14</f>
        <v/>
      </c>
      <c r="C30" s="640">
        <f>'Thông tin HV'!C14</f>
        <v/>
      </c>
      <c r="D30" s="641" t="n"/>
      <c r="E30" s="642" t="n"/>
      <c r="F30" s="642" t="n"/>
      <c r="G30" s="642" t="n"/>
    </row>
    <row r="31" ht="23.75" customFormat="1" customHeight="1" s="609">
      <c r="A31" s="639">
        <f>'Thông tin HV'!A15</f>
        <v/>
      </c>
      <c r="B31" s="639">
        <f>'Thông tin HV'!B15</f>
        <v/>
      </c>
      <c r="C31" s="640">
        <f>'Thông tin HV'!C15</f>
        <v/>
      </c>
      <c r="D31" s="641" t="n"/>
      <c r="E31" s="642" t="n"/>
      <c r="F31" s="642" t="n"/>
      <c r="G31" s="642" t="n"/>
    </row>
    <row r="32" ht="23.75" customFormat="1" customHeight="1" s="609">
      <c r="A32" s="643">
        <f>'Thông tin HV'!A16</f>
        <v/>
      </c>
      <c r="B32" s="643">
        <f>'Thông tin HV'!B16</f>
        <v/>
      </c>
      <c r="C32" s="644">
        <f>'Thông tin HV'!C16</f>
        <v/>
      </c>
      <c r="D32" s="645" t="n"/>
      <c r="E32" s="646" t="n"/>
      <c r="F32" s="646" t="n"/>
      <c r="G32" s="646" t="n"/>
    </row>
    <row r="33" ht="23.75" customFormat="1" customHeight="1" s="609">
      <c r="A33" s="635">
        <f>'Thông tin HV'!A17</f>
        <v/>
      </c>
      <c r="B33" s="635">
        <f>'Thông tin HV'!B17</f>
        <v/>
      </c>
      <c r="C33" s="636">
        <f>'Thông tin HV'!C17</f>
        <v/>
      </c>
      <c r="D33" s="637" t="n"/>
      <c r="E33" s="638" t="n"/>
      <c r="F33" s="638" t="n"/>
      <c r="G33" s="638" t="n"/>
    </row>
    <row r="34" ht="23.75" customFormat="1" customHeight="1" s="609">
      <c r="A34" s="639">
        <f>'Thông tin HV'!A18</f>
        <v/>
      </c>
      <c r="B34" s="639">
        <f>'Thông tin HV'!B18</f>
        <v/>
      </c>
      <c r="C34" s="640">
        <f>'Thông tin HV'!C18</f>
        <v/>
      </c>
      <c r="D34" s="641" t="n"/>
      <c r="E34" s="642" t="n"/>
      <c r="F34" s="642" t="n"/>
      <c r="G34" s="642" t="n"/>
    </row>
    <row r="35" ht="23.75" customFormat="1" customHeight="1" s="609">
      <c r="A35" s="639">
        <f>'Thông tin HV'!A19</f>
        <v/>
      </c>
      <c r="B35" s="639">
        <f>'Thông tin HV'!B19</f>
        <v/>
      </c>
      <c r="C35" s="640">
        <f>'Thông tin HV'!C19</f>
        <v/>
      </c>
      <c r="D35" s="641" t="n"/>
      <c r="E35" s="642" t="n"/>
      <c r="F35" s="642" t="n"/>
      <c r="G35" s="642" t="n"/>
    </row>
    <row r="36" ht="23.75" customFormat="1" customHeight="1" s="609">
      <c r="A36" s="639">
        <f>'Thông tin HV'!A20</f>
        <v/>
      </c>
      <c r="B36" s="639">
        <f>'Thông tin HV'!B20</f>
        <v/>
      </c>
      <c r="C36" s="640">
        <f>'Thông tin HV'!C20</f>
        <v/>
      </c>
      <c r="D36" s="641" t="n"/>
      <c r="E36" s="642" t="n"/>
      <c r="F36" s="642" t="n"/>
      <c r="G36" s="642" t="n"/>
    </row>
    <row r="37" ht="23.75" customFormat="1" customHeight="1" s="609">
      <c r="A37" s="643">
        <f>'Thông tin HV'!A21</f>
        <v/>
      </c>
      <c r="B37" s="643">
        <f>'Thông tin HV'!B21</f>
        <v/>
      </c>
      <c r="C37" s="644">
        <f>'Thông tin HV'!C21</f>
        <v/>
      </c>
      <c r="D37" s="645" t="n"/>
      <c r="E37" s="646" t="n"/>
      <c r="F37" s="646" t="n"/>
      <c r="G37" s="646" t="n"/>
    </row>
    <row r="38" ht="23.75" customFormat="1" customHeight="1" s="609">
      <c r="A38" s="635">
        <f>'Thông tin HV'!A22</f>
        <v/>
      </c>
      <c r="B38" s="635">
        <f>'Thông tin HV'!B22</f>
        <v/>
      </c>
      <c r="C38" s="636">
        <f>'Thông tin HV'!C22</f>
        <v/>
      </c>
      <c r="D38" s="637" t="n"/>
      <c r="E38" s="638" t="n"/>
      <c r="F38" s="638" t="n"/>
      <c r="G38" s="638" t="n"/>
    </row>
    <row r="39" ht="23.75" customFormat="1" customHeight="1" s="609">
      <c r="A39" s="639">
        <f>'Thông tin HV'!A23</f>
        <v/>
      </c>
      <c r="B39" s="639">
        <f>'Thông tin HV'!B23</f>
        <v/>
      </c>
      <c r="C39" s="640">
        <f>'Thông tin HV'!C23</f>
        <v/>
      </c>
      <c r="D39" s="641" t="n"/>
      <c r="E39" s="642" t="n"/>
      <c r="F39" s="642" t="n"/>
      <c r="G39" s="642" t="n"/>
    </row>
    <row r="40" ht="23.75" customFormat="1" customHeight="1" s="609">
      <c r="A40" s="639">
        <f>'Thông tin HV'!A24</f>
        <v/>
      </c>
      <c r="B40" s="639">
        <f>'Thông tin HV'!B24</f>
        <v/>
      </c>
      <c r="C40" s="640">
        <f>'Thông tin HV'!C24</f>
        <v/>
      </c>
      <c r="D40" s="641" t="n"/>
      <c r="E40" s="642" t="n"/>
      <c r="F40" s="642" t="n"/>
      <c r="G40" s="642" t="n"/>
    </row>
    <row r="41" ht="23.75" customFormat="1" customHeight="1" s="609">
      <c r="A41" s="639">
        <f>'Thông tin HV'!A25</f>
        <v/>
      </c>
      <c r="B41" s="639">
        <f>'Thông tin HV'!B25</f>
        <v/>
      </c>
      <c r="C41" s="640">
        <f>'Thông tin HV'!C25</f>
        <v/>
      </c>
      <c r="D41" s="641" t="n"/>
      <c r="E41" s="642" t="n"/>
      <c r="F41" s="642" t="n"/>
      <c r="G41" s="642" t="n"/>
    </row>
    <row r="42" ht="23.75" customFormat="1" customHeight="1" s="609">
      <c r="A42" s="643">
        <f>'Thông tin HV'!A26</f>
        <v/>
      </c>
      <c r="B42" s="643">
        <f>'Thông tin HV'!B26</f>
        <v/>
      </c>
      <c r="C42" s="644">
        <f>'Thông tin HV'!C26</f>
        <v/>
      </c>
      <c r="D42" s="645" t="n"/>
      <c r="E42" s="646" t="n"/>
      <c r="F42" s="646" t="n"/>
      <c r="G42" s="646" t="n"/>
    </row>
    <row r="43" ht="23.75" customFormat="1" customHeight="1" s="609">
      <c r="A43" s="635">
        <f>'Thông tin HV'!A27</f>
        <v/>
      </c>
      <c r="B43" s="635">
        <f>'Thông tin HV'!B27</f>
        <v/>
      </c>
      <c r="C43" s="636">
        <f>'Thông tin HV'!C27</f>
        <v/>
      </c>
      <c r="D43" s="637" t="n"/>
      <c r="E43" s="638" t="n"/>
      <c r="F43" s="638" t="n"/>
      <c r="G43" s="638" t="n"/>
    </row>
    <row r="44" ht="23.75" customFormat="1" customHeight="1" s="609">
      <c r="A44" s="639">
        <f>'Thông tin HV'!A28</f>
        <v/>
      </c>
      <c r="B44" s="639">
        <f>'Thông tin HV'!B28</f>
        <v/>
      </c>
      <c r="C44" s="640">
        <f>'Thông tin HV'!C28</f>
        <v/>
      </c>
      <c r="D44" s="641" t="n"/>
      <c r="E44" s="642" t="n"/>
      <c r="F44" s="642" t="n"/>
      <c r="G44" s="642" t="n"/>
    </row>
    <row r="45" ht="23.75" customFormat="1" customHeight="1" s="609">
      <c r="A45" s="639">
        <f>'Thông tin HV'!A29</f>
        <v/>
      </c>
      <c r="B45" s="639">
        <f>'Thông tin HV'!B29</f>
        <v/>
      </c>
      <c r="C45" s="640">
        <f>'Thông tin HV'!C29</f>
        <v/>
      </c>
      <c r="D45" s="641" t="n"/>
      <c r="E45" s="642" t="n"/>
      <c r="F45" s="642" t="n"/>
      <c r="G45" s="642" t="n"/>
    </row>
    <row r="46" ht="23.75" customFormat="1" customHeight="1" s="609">
      <c r="A46" s="639">
        <f>'Thông tin HV'!A30</f>
        <v/>
      </c>
      <c r="B46" s="639">
        <f>'Thông tin HV'!B30</f>
        <v/>
      </c>
      <c r="C46" s="640">
        <f>'Thông tin HV'!C30</f>
        <v/>
      </c>
      <c r="D46" s="641" t="n"/>
      <c r="E46" s="642" t="n"/>
      <c r="F46" s="642" t="n"/>
      <c r="G46" s="642" t="n"/>
    </row>
    <row r="47" ht="23.75" customFormat="1" customHeight="1" s="609">
      <c r="A47" s="643">
        <f>'Thông tin HV'!A31</f>
        <v/>
      </c>
      <c r="B47" s="643">
        <f>'Thông tin HV'!B31</f>
        <v/>
      </c>
      <c r="C47" s="644">
        <f>'Thông tin HV'!C31</f>
        <v/>
      </c>
      <c r="D47" s="645" t="n"/>
      <c r="E47" s="646" t="n"/>
      <c r="F47" s="646" t="n"/>
      <c r="G47" s="646" t="n"/>
    </row>
    <row r="48" ht="23.75" customFormat="1" customHeight="1" s="609">
      <c r="A48" s="635">
        <f>'Thông tin HV'!A32</f>
        <v/>
      </c>
      <c r="B48" s="635">
        <f>'Thông tin HV'!B32</f>
        <v/>
      </c>
      <c r="C48" s="636">
        <f>'Thông tin HV'!C32</f>
        <v/>
      </c>
      <c r="D48" s="637" t="n"/>
      <c r="E48" s="638" t="n"/>
      <c r="F48" s="638" t="n"/>
      <c r="G48" s="638" t="n"/>
    </row>
    <row r="49" ht="23.75" customFormat="1" customHeight="1" s="609">
      <c r="A49" s="639">
        <f>'Thông tin HV'!A33</f>
        <v/>
      </c>
      <c r="B49" s="639">
        <f>'Thông tin HV'!B33</f>
        <v/>
      </c>
      <c r="C49" s="640">
        <f>'Thông tin HV'!C33</f>
        <v/>
      </c>
      <c r="D49" s="641" t="n"/>
      <c r="E49" s="642" t="n"/>
      <c r="F49" s="642" t="n"/>
      <c r="G49" s="642" t="n"/>
    </row>
    <row r="50" ht="23.75" customFormat="1" customHeight="1" s="609">
      <c r="A50" s="639">
        <f>'Thông tin HV'!A34</f>
        <v/>
      </c>
      <c r="B50" s="639">
        <f>'Thông tin HV'!B34</f>
        <v/>
      </c>
      <c r="C50" s="640">
        <f>'Thông tin HV'!C34</f>
        <v/>
      </c>
      <c r="D50" s="641" t="n"/>
      <c r="E50" s="642" t="n"/>
      <c r="F50" s="642" t="n"/>
      <c r="G50" s="642" t="n"/>
    </row>
    <row r="51" ht="23.75" customFormat="1" customHeight="1" s="609">
      <c r="A51" s="639">
        <f>'Thông tin HV'!A35</f>
        <v/>
      </c>
      <c r="B51" s="639">
        <f>'Thông tin HV'!B35</f>
        <v/>
      </c>
      <c r="C51" s="640">
        <f>'Thông tin HV'!C35</f>
        <v/>
      </c>
      <c r="D51" s="641" t="n"/>
      <c r="E51" s="642" t="n"/>
      <c r="F51" s="642" t="n"/>
      <c r="G51" s="642" t="n"/>
    </row>
    <row r="52" ht="23.75" customFormat="1" customHeight="1" s="609">
      <c r="A52" s="647">
        <f>'Thông tin HV'!A36</f>
        <v/>
      </c>
      <c r="B52" s="647">
        <f>'Thông tin HV'!B36</f>
        <v/>
      </c>
      <c r="C52" s="648">
        <f>'Thông tin HV'!C36</f>
        <v/>
      </c>
      <c r="D52" s="649" t="n"/>
      <c r="E52" s="650" t="n"/>
      <c r="F52" s="650" t="n"/>
      <c r="G52" s="650" t="n"/>
    </row>
    <row r="53" ht="17.65" customFormat="1" customHeight="1" s="609">
      <c r="A53" s="651" t="inlineStr">
        <is>
          <t>Thống kê:</t>
        </is>
      </c>
      <c r="B53" s="651" t="n"/>
      <c r="C53" s="601" t="inlineStr">
        <is>
          <t>- Tổng số học viên đủ điều kiện dự kiểm tra:…………. Học viên;</t>
        </is>
      </c>
      <c r="E53" s="601" t="n"/>
      <c r="F53" s="601" t="n"/>
      <c r="G53" s="601" t="n"/>
    </row>
    <row r="54" ht="20.1" customFormat="1" customHeight="1" s="609">
      <c r="A54" s="597" t="n"/>
      <c r="B54" s="597" t="n"/>
      <c r="C54" s="601" t="inlineStr">
        <is>
          <t>- Tổng số học viên có mặt: …………………………….Học viên;</t>
        </is>
      </c>
      <c r="E54" s="601" t="n"/>
      <c r="F54" s="601" t="n"/>
      <c r="G54" s="601" t="n"/>
    </row>
    <row r="55" ht="16.5" customHeight="1" s="393">
      <c r="A55" s="601" t="n"/>
      <c r="B55" s="601" t="n"/>
      <c r="C55" s="601" t="inlineStr">
        <is>
          <t>- Tổng số học viên vắng mặt:…………………………..Học viên;</t>
        </is>
      </c>
      <c r="E55" s="601" t="n"/>
      <c r="F55" s="601" t="n"/>
      <c r="G55" s="601" t="n"/>
    </row>
    <row r="56" ht="16.5" customHeight="1" s="393">
      <c r="A56" s="601" t="n"/>
      <c r="B56" s="601" t="n"/>
      <c r="C56" s="601" t="inlineStr">
        <is>
          <t>Trong đó: Vắng có lý do chính đáng: ………………….Học viên;</t>
        </is>
      </c>
      <c r="E56" s="601" t="n"/>
      <c r="F56" s="601" t="n"/>
      <c r="G56" s="601" t="n"/>
    </row>
    <row r="57" ht="16.5" customHeight="1" s="393">
      <c r="A57" s="652" t="inlineStr">
        <is>
          <t>(Những học viên vắng mặt Cán bộ coi kiểm tra ghi cụ thể lý do vào ô “Nhận xét”)</t>
        </is>
      </c>
    </row>
    <row r="58" ht="16.5" customHeight="1" s="393">
      <c r="A58" s="601" t="n"/>
      <c r="B58" s="601" t="n"/>
      <c r="C58" s="601" t="inlineStr">
        <is>
          <t>- Tổng số học viên đạt yêu cầu:  ……...Học viên; Đạt:....... %</t>
        </is>
      </c>
      <c r="D58" s="601" t="n"/>
      <c r="E58" s="601" t="n"/>
      <c r="F58" s="601" t="n"/>
      <c r="G58" s="601" t="n"/>
    </row>
    <row r="59" ht="16.5" customHeight="1" s="393">
      <c r="A59" s="652" t="inlineStr">
        <is>
          <t>(Học viên đạt yêu cầu là học viên có điểm kiểm tra từ 5,0 điểm trở lên)</t>
        </is>
      </c>
    </row>
    <row r="60" ht="16.5" customHeight="1" s="393">
      <c r="A60" s="603" t="inlineStr">
        <is>
          <t>Nhận xét về kỳ kiểm tra :</t>
        </is>
      </c>
      <c r="B60" s="601" t="n"/>
      <c r="D60" s="601" t="n"/>
      <c r="E60" s="601" t="n"/>
      <c r="F60" s="601" t="n"/>
      <c r="G60" s="601" t="n"/>
    </row>
    <row r="61" ht="16.5" customHeight="1" s="393">
      <c r="A61" s="653" t="n"/>
      <c r="B61" s="653" t="n"/>
      <c r="C61" s="654" t="n"/>
      <c r="D61" s="653" t="n"/>
      <c r="E61" s="653" t="n"/>
      <c r="F61" s="653" t="n"/>
      <c r="G61" s="653" t="n"/>
    </row>
    <row r="62" ht="16.5" customHeight="1" s="393">
      <c r="A62" s="655" t="n"/>
      <c r="B62" s="655" t="n"/>
      <c r="C62" s="656" t="n"/>
      <c r="D62" s="655" t="n"/>
      <c r="E62" s="655" t="n"/>
      <c r="F62" s="655" t="n"/>
      <c r="G62" s="655" t="n"/>
    </row>
    <row r="63" ht="16.5" customHeight="1" s="393">
      <c r="A63" s="655" t="n"/>
      <c r="B63" s="655" t="n"/>
      <c r="C63" s="655" t="n"/>
      <c r="D63" s="655" t="n"/>
      <c r="E63" s="655" t="n"/>
      <c r="F63" s="655" t="n"/>
      <c r="G63" s="655" t="n"/>
    </row>
    <row r="64" ht="16.5" customHeight="1" s="393">
      <c r="A64" s="655" t="n"/>
      <c r="B64" s="655" t="n"/>
      <c r="C64" s="655" t="n"/>
      <c r="D64" s="655" t="n"/>
      <c r="E64" s="655" t="n"/>
      <c r="F64" s="655" t="n"/>
      <c r="G64" s="655" t="n"/>
    </row>
    <row r="65" ht="16.5" customHeight="1" s="393">
      <c r="A65" s="601" t="n"/>
      <c r="B65" s="601" t="n"/>
      <c r="C65" s="602" t="inlineStr">
        <is>
          <t>Người nhận lại phiếu</t>
        </is>
      </c>
      <c r="E65" s="601" t="n"/>
      <c r="F65" s="601" t="n"/>
      <c r="G65" s="602" t="inlineStr">
        <is>
          <t>Cán bộ coi và chấm kiểm tra</t>
        </is>
      </c>
    </row>
    <row r="66" ht="16.5" customHeight="1" s="393">
      <c r="A66" s="601" t="n"/>
      <c r="B66" s="601" t="n"/>
      <c r="C66" s="652" t="inlineStr">
        <is>
          <t>(Ký, ghi rõ họ tên)</t>
        </is>
      </c>
      <c r="E66" s="601" t="n"/>
      <c r="F66" s="601" t="n"/>
      <c r="G66" s="652" t="inlineStr">
        <is>
          <t>(Ký, ghi rõ họ tên)</t>
        </is>
      </c>
    </row>
    <row r="67" ht="16.5" customHeight="1" s="393">
      <c r="A67" s="601" t="n"/>
      <c r="B67" s="601" t="n"/>
      <c r="C67" s="601" t="n"/>
      <c r="D67" s="601" t="n"/>
      <c r="E67" s="601" t="n"/>
      <c r="F67" s="601" t="n"/>
      <c r="G67" s="601" t="n"/>
    </row>
    <row r="68" ht="71.65000000000001" customHeight="1" s="393">
      <c r="A68" s="601" t="n"/>
      <c r="B68" s="601" t="n"/>
      <c r="C68" s="601" t="n"/>
      <c r="D68" s="601" t="n"/>
      <c r="E68" s="601" t="n"/>
      <c r="F68" s="601" t="n"/>
      <c r="G68" s="601" t="n"/>
    </row>
    <row r="69" ht="16.5" customHeight="1" s="393">
      <c r="A69" s="657" t="inlineStr">
        <is>
          <t>Lưu ý :</t>
        </is>
      </c>
      <c r="B69" s="657" t="n"/>
      <c r="C69" s="601" t="n"/>
      <c r="D69" s="601" t="n"/>
      <c r="E69" s="601" t="n"/>
      <c r="F69" s="601" t="n"/>
      <c r="G69" s="601" t="n"/>
    </row>
    <row r="70" ht="15.4" customHeight="1" s="393">
      <c r="A70" s="658" t="inlineStr">
        <is>
          <t>- Phiếu chấm kết thúc khóa học này được cán bộ coi và chấm kiểm tra thực hiện;</t>
        </is>
      </c>
    </row>
    <row r="71" ht="15.4" customHeight="1" s="393">
      <c r="A71" s="658" t="inlineStr">
        <is>
          <t>- Sau khi đã hoàn thành các tiêu chí trong phiếu, nộp lại cho thư ký hội đồng để Thư ký tổng hợp, phiếu này được lưu trong hồ sơ lớp học tại Tổ Giáo vụ.</t>
        </is>
      </c>
    </row>
    <row r="72" ht="29.65" customFormat="1" customHeight="1" s="601">
      <c r="A72" s="658" t="inlineStr">
        <is>
          <t>- Điểm kiểm tra được đánh giá ở 02 mức độ: Đạt yêu cầu (đạt từ 5 điểm trở lên với thang điểm 10) và không đạt yêu cầu (đạt dưới 05 điểm đối với thang điểm 10).</t>
        </is>
      </c>
    </row>
    <row r="73" ht="39.75" customFormat="1" customHeight="1" s="601">
      <c r="A73" s="658" t="inlineStr">
        <is>
          <t>- Nếu trong quá trình tổng hợp, có những thang điểm chênh lệch nhau nhiều mà các cán bộ chấm kiểm tra không thống nhất được thì phải trình hội đồng kiểm tra  kết thúc khóa học xem xét, quyết định./.</t>
        </is>
      </c>
    </row>
    <row r="74" ht="39.75" customFormat="1" customHeight="1" s="601">
      <c r="A74" s="597" t="n"/>
      <c r="B74" s="597" t="n"/>
      <c r="C74" s="597" t="n"/>
      <c r="D74" s="597" t="n"/>
      <c r="E74" s="597" t="n"/>
      <c r="F74" s="597" t="n"/>
      <c r="G74" s="597" t="n"/>
    </row>
    <row r="75" ht="39" customFormat="1" customHeight="1" s="601">
      <c r="A75" s="597" t="n"/>
      <c r="B75" s="597" t="n"/>
      <c r="C75" s="597" t="n"/>
      <c r="D75" s="597" t="n"/>
      <c r="E75" s="597" t="n"/>
      <c r="F75" s="597" t="n"/>
      <c r="G75" s="597" t="n"/>
    </row>
  </sheetData>
  <mergeCells count="23">
    <mergeCell ref="A4:G4"/>
    <mergeCell ref="A1:E1"/>
    <mergeCell ref="A72:G72"/>
    <mergeCell ref="A16:A17"/>
    <mergeCell ref="C16:C17"/>
    <mergeCell ref="F3:G3"/>
    <mergeCell ref="C65:D65"/>
    <mergeCell ref="D16:D17"/>
    <mergeCell ref="A59:G59"/>
    <mergeCell ref="A73:G73"/>
    <mergeCell ref="A3:E3"/>
    <mergeCell ref="F2:G2"/>
    <mergeCell ref="A70:G70"/>
    <mergeCell ref="A2:E2"/>
    <mergeCell ref="A6:G6"/>
    <mergeCell ref="G16:G17"/>
    <mergeCell ref="E16:F16"/>
    <mergeCell ref="C66:D66"/>
    <mergeCell ref="B16:B17"/>
    <mergeCell ref="A57:G57"/>
    <mergeCell ref="A71:G71"/>
    <mergeCell ref="F1:G1"/>
    <mergeCell ref="A5:G5"/>
  </mergeCells>
  <conditionalFormatting sqref="G10:G44">
    <cfRule type="expression" rank="0" priority="2" equalAverage="0" aboveAverage="0" dxfId="0" text="" percent="0" bottom="0">
      <formula>NOT(ISERROR(SEARCH("Không",G10)))</formula>
    </cfRule>
    <cfRule type="expression" rank="0" priority="3" equalAverage="0" aboveAverage="0" dxfId="1" text="" percent="0" bottom="0">
      <formula>"Không"</formula>
    </cfRule>
  </conditionalFormatting>
  <printOptions horizontalCentered="0" verticalCentered="0" headings="0" gridLines="0" gridLinesSet="1"/>
  <pageMargins left="0.420138888888889" right="0.390277777777778" top="0.490277777777778" bottom="0.409722222222222"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10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K7" activeCellId="0" sqref="K7"/>
    </sheetView>
  </sheetViews>
  <sheetFormatPr baseColWidth="8" defaultColWidth="8.90234375" defaultRowHeight="15" zeroHeight="0" outlineLevelRow="0"/>
  <cols>
    <col width="4.87" customWidth="1" style="659" min="1" max="1"/>
    <col width="10.62" customWidth="1" style="659" min="2" max="3"/>
    <col width="6.12" customWidth="1" style="659" min="4" max="4"/>
    <col width="13.62" customWidth="1" style="659" min="5" max="6"/>
    <col width="21.37" customWidth="1" style="659" min="7" max="7"/>
    <col width="17.75" customWidth="1" style="659" min="8" max="8"/>
  </cols>
  <sheetData>
    <row r="1" ht="16.5" customHeight="1" s="393">
      <c r="A1" s="660" t="inlineStr">
        <is>
          <t>SỞ GIÁO DỤC VÀ ĐÀO TẠO TỈNH QUẢNG NGÃI</t>
        </is>
      </c>
      <c r="F1" s="661" t="inlineStr">
        <is>
          <t>CỘNG HÒA XÃ HỘI CHỦ NGHĨA VIỆT NAM</t>
        </is>
      </c>
    </row>
    <row r="2" ht="17.25" customHeight="1" s="393">
      <c r="A2" s="662" t="inlineStr">
        <is>
          <t>TRUNG TÂM GDNN-GDTX KHU VỰC ĐĂK HÀ</t>
        </is>
      </c>
      <c r="F2" s="663" t="inlineStr">
        <is>
          <t>Độc lập - Tự do - Hạnh phúc</t>
        </is>
      </c>
    </row>
    <row r="3" ht="13.5" customHeight="1" s="393">
      <c r="A3" s="664" t="n"/>
      <c r="B3" s="664" t="n"/>
      <c r="C3" s="664" t="n"/>
      <c r="D3" s="664" t="n"/>
      <c r="E3" s="392" t="n"/>
      <c r="F3" s="392" t="n"/>
      <c r="G3" s="392" t="n"/>
      <c r="H3" s="392" t="n"/>
    </row>
    <row r="4" ht="16.5" customFormat="1" customHeight="1" s="665">
      <c r="A4" s="661" t="inlineStr">
        <is>
          <t>BẢNG TỔNG HỢP ĐIỂM KIỂM TRA KẾT THÚC MÔ ĐUN</t>
        </is>
      </c>
    </row>
    <row r="5" ht="16.5" customFormat="1" customHeight="1" s="665">
      <c r="A5" s="666">
        <f>"Tham gia lớp Đào tạo Nghề: "&amp;UPPER('KHÓA HỌC'!D5)&amp;"; Khóa: "&amp;'KHÓA HỌC'!D3&amp;"; Năm "&amp;'KHÓA HỌC'!D4</f>
        <v/>
      </c>
    </row>
    <row r="6" ht="7.5" customFormat="1" customHeight="1" s="667">
      <c r="A6" s="392" t="n"/>
      <c r="B6" s="392" t="n"/>
      <c r="C6" s="392" t="n"/>
      <c r="D6" s="392" t="n"/>
      <c r="E6" s="392" t="n"/>
      <c r="F6" s="392" t="n"/>
      <c r="G6" s="392" t="n"/>
      <c r="H6" s="392" t="n"/>
    </row>
    <row r="7" ht="54.4" customFormat="1" customHeight="1" s="667">
      <c r="A7" s="566" t="inlineStr">
        <is>
          <t>STT</t>
        </is>
      </c>
      <c r="B7" s="566" t="inlineStr">
        <is>
          <t>Họ và tên</t>
        </is>
      </c>
      <c r="C7" s="566" t="n"/>
      <c r="D7" s="565" t="inlineStr">
        <is>
          <t>Năm sinh</t>
        </is>
      </c>
      <c r="E7" s="565" t="inlineStr">
        <is>
          <t>Điểm của cán bộ coi, chấm kiểm tra 1</t>
        </is>
      </c>
      <c r="F7" s="565" t="inlineStr">
        <is>
          <t>Điểm của cán bộ coi, chấm kiểm tra 2</t>
        </is>
      </c>
      <c r="G7" s="565" t="inlineStr">
        <is>
          <t>Điểm tổng hợp
(Trung bình cộng 2 điểm của 2 cán bộ coi, chấm kiểm tra)</t>
        </is>
      </c>
      <c r="H7" s="565" t="inlineStr">
        <is>
          <t>Điểm do Hội đồng xét duyệt và chấp nhận</t>
        </is>
      </c>
    </row>
    <row r="8" ht="18" customFormat="1" customHeight="1" s="667">
      <c r="A8" s="668" t="inlineStr">
        <is>
          <t>01</t>
        </is>
      </c>
      <c r="B8" s="669">
        <f>'Thông tin HV'!C4</f>
        <v/>
      </c>
      <c r="C8" s="669" t="n"/>
      <c r="D8" s="670">
        <f>'Thông tin HV'!D4</f>
        <v/>
      </c>
      <c r="E8" s="671" t="n">
        <v>6</v>
      </c>
      <c r="F8" s="671" t="n">
        <v>7</v>
      </c>
      <c r="G8" s="671">
        <f>(E8+F8)/2</f>
        <v/>
      </c>
      <c r="H8" s="672">
        <f>G8</f>
        <v/>
      </c>
    </row>
    <row r="9" ht="18" customFormat="1" customHeight="1" s="667">
      <c r="A9" s="673" t="inlineStr">
        <is>
          <t>02</t>
        </is>
      </c>
      <c r="B9" s="669">
        <f>'Thông tin HV'!C5</f>
        <v/>
      </c>
      <c r="C9" s="669" t="n"/>
      <c r="D9" s="670">
        <f>'Thông tin HV'!D5</f>
        <v/>
      </c>
      <c r="E9" s="671" t="n">
        <v>7</v>
      </c>
      <c r="F9" s="671" t="n">
        <v>6</v>
      </c>
      <c r="G9" s="671">
        <f>(E9+F9)/2</f>
        <v/>
      </c>
      <c r="H9" s="672">
        <f>G9</f>
        <v/>
      </c>
    </row>
    <row r="10" ht="18" customFormat="1" customHeight="1" s="667">
      <c r="A10" s="673" t="inlineStr">
        <is>
          <t>03</t>
        </is>
      </c>
      <c r="B10" s="669">
        <f>'Thông tin HV'!C6</f>
        <v/>
      </c>
      <c r="C10" s="669" t="n"/>
      <c r="D10" s="670">
        <f>'Thông tin HV'!D6</f>
        <v/>
      </c>
      <c r="E10" s="671" t="n">
        <v>6</v>
      </c>
      <c r="F10" s="671" t="n">
        <v>6</v>
      </c>
      <c r="G10" s="671">
        <f>(E10+F10)/2</f>
        <v/>
      </c>
      <c r="H10" s="672">
        <f>G10</f>
        <v/>
      </c>
    </row>
    <row r="11" ht="18" customFormat="1" customHeight="1" s="667">
      <c r="A11" s="673" t="inlineStr">
        <is>
          <t>04</t>
        </is>
      </c>
      <c r="B11" s="669">
        <f>'Thông tin HV'!C7</f>
        <v/>
      </c>
      <c r="C11" s="669" t="n"/>
      <c r="D11" s="670">
        <f>'Thông tin HV'!D7</f>
        <v/>
      </c>
      <c r="E11" s="671" t="n">
        <v>0</v>
      </c>
      <c r="F11" s="671" t="n">
        <v>0</v>
      </c>
      <c r="G11" s="671">
        <f>(E11+F11)/2</f>
        <v/>
      </c>
      <c r="H11" s="672">
        <f>G11</f>
        <v/>
      </c>
    </row>
    <row r="12" ht="18" customFormat="1" customHeight="1" s="667">
      <c r="A12" s="673" t="inlineStr">
        <is>
          <t>05</t>
        </is>
      </c>
      <c r="B12" s="669">
        <f>'Thông tin HV'!C8</f>
        <v/>
      </c>
      <c r="C12" s="669" t="n"/>
      <c r="D12" s="670">
        <f>'Thông tin HV'!D8</f>
        <v/>
      </c>
      <c r="E12" s="671" t="n">
        <v>7</v>
      </c>
      <c r="F12" s="671" t="n">
        <v>7</v>
      </c>
      <c r="G12" s="671">
        <f>(E12+F12)/2</f>
        <v/>
      </c>
      <c r="H12" s="672">
        <f>G12</f>
        <v/>
      </c>
    </row>
    <row r="13" ht="18" customFormat="1" customHeight="1" s="667">
      <c r="A13" s="673" t="inlineStr">
        <is>
          <t>06</t>
        </is>
      </c>
      <c r="B13" s="669">
        <f>'Thông tin HV'!C9</f>
        <v/>
      </c>
      <c r="C13" s="669" t="n"/>
      <c r="D13" s="670">
        <f>'Thông tin HV'!D9</f>
        <v/>
      </c>
      <c r="E13" s="671" t="n">
        <v>6</v>
      </c>
      <c r="F13" s="671" t="n">
        <v>6</v>
      </c>
      <c r="G13" s="671">
        <f>(E13+F13)/2</f>
        <v/>
      </c>
      <c r="H13" s="672">
        <f>G13</f>
        <v/>
      </c>
    </row>
    <row r="14" ht="18" customFormat="1" customHeight="1" s="667">
      <c r="A14" s="673" t="inlineStr">
        <is>
          <t>07</t>
        </is>
      </c>
      <c r="B14" s="669">
        <f>'Thông tin HV'!C10</f>
        <v/>
      </c>
      <c r="C14" s="669" t="n"/>
      <c r="D14" s="670">
        <f>'Thông tin HV'!D10</f>
        <v/>
      </c>
      <c r="E14" s="671" t="n">
        <v>6</v>
      </c>
      <c r="F14" s="671" t="n">
        <v>6</v>
      </c>
      <c r="G14" s="671">
        <f>(E14+F14)/2</f>
        <v/>
      </c>
      <c r="H14" s="672">
        <f>G14</f>
        <v/>
      </c>
    </row>
    <row r="15" ht="18" customFormat="1" customHeight="1" s="667">
      <c r="A15" s="673" t="inlineStr">
        <is>
          <t>08</t>
        </is>
      </c>
      <c r="B15" s="669">
        <f>'Thông tin HV'!C11</f>
        <v/>
      </c>
      <c r="C15" s="669" t="n"/>
      <c r="D15" s="670">
        <f>'Thông tin HV'!D11</f>
        <v/>
      </c>
      <c r="E15" s="671" t="n">
        <v>6</v>
      </c>
      <c r="F15" s="671" t="n">
        <v>6</v>
      </c>
      <c r="G15" s="671">
        <f>(E15+F15)/2</f>
        <v/>
      </c>
      <c r="H15" s="672">
        <f>G15</f>
        <v/>
      </c>
    </row>
    <row r="16" ht="18" customFormat="1" customHeight="1" s="667">
      <c r="A16" s="673" t="inlineStr">
        <is>
          <t>09</t>
        </is>
      </c>
      <c r="B16" s="669">
        <f>'Thông tin HV'!C12</f>
        <v/>
      </c>
      <c r="C16" s="669" t="n"/>
      <c r="D16" s="670">
        <f>'Thông tin HV'!D12</f>
        <v/>
      </c>
      <c r="E16" s="671" t="n">
        <v>6</v>
      </c>
      <c r="F16" s="671" t="n">
        <v>6</v>
      </c>
      <c r="G16" s="671">
        <f>(E16+F16)/2</f>
        <v/>
      </c>
      <c r="H16" s="672">
        <f>G16</f>
        <v/>
      </c>
    </row>
    <row r="17" ht="18" customFormat="1" customHeight="1" s="667">
      <c r="A17" s="673" t="inlineStr">
        <is>
          <t>10</t>
        </is>
      </c>
      <c r="B17" s="669">
        <f>'Thông tin HV'!C13</f>
        <v/>
      </c>
      <c r="C17" s="669" t="n"/>
      <c r="D17" s="670">
        <f>'Thông tin HV'!D13</f>
        <v/>
      </c>
      <c r="E17" s="671" t="n">
        <v>6</v>
      </c>
      <c r="F17" s="671" t="n">
        <v>6</v>
      </c>
      <c r="G17" s="671">
        <f>(E17+F17)/2</f>
        <v/>
      </c>
      <c r="H17" s="672">
        <f>G17</f>
        <v/>
      </c>
    </row>
    <row r="18" ht="18" customFormat="1" customHeight="1" s="667">
      <c r="A18" s="673" t="inlineStr">
        <is>
          <t>11</t>
        </is>
      </c>
      <c r="B18" s="669">
        <f>'Thông tin HV'!C14</f>
        <v/>
      </c>
      <c r="C18" s="669" t="n"/>
      <c r="D18" s="670">
        <f>'Thông tin HV'!D14</f>
        <v/>
      </c>
      <c r="E18" s="671" t="n">
        <v>6</v>
      </c>
      <c r="F18" s="671" t="n">
        <v>6</v>
      </c>
      <c r="G18" s="671">
        <f>(E18+F18)/2</f>
        <v/>
      </c>
      <c r="H18" s="672">
        <f>G18</f>
        <v/>
      </c>
    </row>
    <row r="19" ht="18" customFormat="1" customHeight="1" s="667">
      <c r="A19" s="673" t="inlineStr">
        <is>
          <t>12</t>
        </is>
      </c>
      <c r="B19" s="669">
        <f>'Thông tin HV'!C15</f>
        <v/>
      </c>
      <c r="C19" s="669" t="n"/>
      <c r="D19" s="670">
        <f>'Thông tin HV'!D15</f>
        <v/>
      </c>
      <c r="E19" s="671" t="n">
        <v>0</v>
      </c>
      <c r="F19" s="671" t="n">
        <v>0</v>
      </c>
      <c r="G19" s="671">
        <f>(E19+F19)/2</f>
        <v/>
      </c>
      <c r="H19" s="672">
        <f>G19</f>
        <v/>
      </c>
    </row>
    <row r="20" ht="18" customFormat="1" customHeight="1" s="667">
      <c r="A20" s="673" t="inlineStr">
        <is>
          <t>13</t>
        </is>
      </c>
      <c r="B20" s="669">
        <f>'Thông tin HV'!C16</f>
        <v/>
      </c>
      <c r="C20" s="669" t="n"/>
      <c r="D20" s="670">
        <f>'Thông tin HV'!D16</f>
        <v/>
      </c>
      <c r="E20" s="671" t="n">
        <v>6</v>
      </c>
      <c r="F20" s="671" t="n">
        <v>7</v>
      </c>
      <c r="G20" s="671">
        <f>(E20+F20)/2</f>
        <v/>
      </c>
      <c r="H20" s="672">
        <f>G20</f>
        <v/>
      </c>
    </row>
    <row r="21" ht="18" customFormat="1" customHeight="1" s="667">
      <c r="A21" s="673" t="inlineStr">
        <is>
          <t>14</t>
        </is>
      </c>
      <c r="B21" s="669">
        <f>'Thông tin HV'!C17</f>
        <v/>
      </c>
      <c r="C21" s="669" t="n"/>
      <c r="D21" s="670">
        <f>'Thông tin HV'!D17</f>
        <v/>
      </c>
      <c r="E21" s="671" t="n">
        <v>6</v>
      </c>
      <c r="F21" s="671" t="n">
        <v>6</v>
      </c>
      <c r="G21" s="671">
        <f>(E21+F21)/2</f>
        <v/>
      </c>
      <c r="H21" s="672">
        <f>G21</f>
        <v/>
      </c>
    </row>
    <row r="22" ht="18" customFormat="1" customHeight="1" s="667">
      <c r="A22" s="673" t="inlineStr">
        <is>
          <t>15</t>
        </is>
      </c>
      <c r="B22" s="669">
        <f>'Thông tin HV'!C18</f>
        <v/>
      </c>
      <c r="C22" s="669" t="n"/>
      <c r="D22" s="670">
        <f>'Thông tin HV'!D18</f>
        <v/>
      </c>
      <c r="E22" s="671" t="n">
        <v>6</v>
      </c>
      <c r="F22" s="671" t="n">
        <v>6</v>
      </c>
      <c r="G22" s="671">
        <f>(E22+F22)/2</f>
        <v/>
      </c>
      <c r="H22" s="672">
        <f>G22</f>
        <v/>
      </c>
    </row>
    <row r="23" ht="18" customFormat="1" customHeight="1" s="667">
      <c r="A23" s="673" t="inlineStr">
        <is>
          <t>16</t>
        </is>
      </c>
      <c r="B23" s="669">
        <f>'Thông tin HV'!C19</f>
        <v/>
      </c>
      <c r="C23" s="669" t="n"/>
      <c r="D23" s="670">
        <f>'Thông tin HV'!D19</f>
        <v/>
      </c>
      <c r="E23" s="671" t="n">
        <v>6</v>
      </c>
      <c r="F23" s="671" t="n">
        <v>6</v>
      </c>
      <c r="G23" s="671">
        <f>(E23+F23)/2</f>
        <v/>
      </c>
      <c r="H23" s="672">
        <f>G23</f>
        <v/>
      </c>
    </row>
    <row r="24" ht="18" customFormat="1" customHeight="1" s="667">
      <c r="A24" s="673" t="inlineStr">
        <is>
          <t>17</t>
        </is>
      </c>
      <c r="B24" s="669">
        <f>'Thông tin HV'!C20</f>
        <v/>
      </c>
      <c r="C24" s="669" t="n"/>
      <c r="D24" s="670">
        <f>'Thông tin HV'!D20</f>
        <v/>
      </c>
      <c r="E24" s="671" t="n">
        <v>7</v>
      </c>
      <c r="F24" s="671" t="n">
        <v>7</v>
      </c>
      <c r="G24" s="671">
        <f>(E24+F24)/2</f>
        <v/>
      </c>
      <c r="H24" s="672">
        <f>G24</f>
        <v/>
      </c>
    </row>
    <row r="25" ht="18" customFormat="1" customHeight="1" s="667">
      <c r="A25" s="673" t="inlineStr">
        <is>
          <t>18</t>
        </is>
      </c>
      <c r="B25" s="669">
        <f>'Thông tin HV'!C21</f>
        <v/>
      </c>
      <c r="C25" s="669" t="n"/>
      <c r="D25" s="670">
        <f>'Thông tin HV'!D21</f>
        <v/>
      </c>
      <c r="E25" s="671" t="n">
        <v>6</v>
      </c>
      <c r="F25" s="671" t="n">
        <v>6</v>
      </c>
      <c r="G25" s="671">
        <f>(E25+F25)/2</f>
        <v/>
      </c>
      <c r="H25" s="672">
        <f>G25</f>
        <v/>
      </c>
    </row>
    <row r="26" ht="18" customFormat="1" customHeight="1" s="667">
      <c r="A26" s="673" t="inlineStr">
        <is>
          <t>19</t>
        </is>
      </c>
      <c r="B26" s="669">
        <f>'Thông tin HV'!C22</f>
        <v/>
      </c>
      <c r="C26" s="669" t="n"/>
      <c r="D26" s="670">
        <f>'Thông tin HV'!D22</f>
        <v/>
      </c>
      <c r="E26" s="671" t="n">
        <v>6</v>
      </c>
      <c r="F26" s="671" t="n">
        <v>7</v>
      </c>
      <c r="G26" s="671">
        <f>(E26+F26)/2</f>
        <v/>
      </c>
      <c r="H26" s="672">
        <f>G26</f>
        <v/>
      </c>
    </row>
    <row r="27" ht="18" customFormat="1" customHeight="1" s="667">
      <c r="A27" s="673" t="inlineStr">
        <is>
          <t>20</t>
        </is>
      </c>
      <c r="B27" s="669">
        <f>'Thông tin HV'!C23</f>
        <v/>
      </c>
      <c r="C27" s="669" t="n"/>
      <c r="D27" s="670">
        <f>'Thông tin HV'!D23</f>
        <v/>
      </c>
      <c r="E27" s="671" t="n">
        <v>6</v>
      </c>
      <c r="F27" s="671" t="n">
        <v>6</v>
      </c>
      <c r="G27" s="671">
        <f>(E27+F27)/2</f>
        <v/>
      </c>
      <c r="H27" s="672">
        <f>G27</f>
        <v/>
      </c>
    </row>
    <row r="28" ht="18" customFormat="1" customHeight="1" s="667">
      <c r="A28" s="673" t="inlineStr">
        <is>
          <t>21</t>
        </is>
      </c>
      <c r="B28" s="669">
        <f>'Thông tin HV'!C24</f>
        <v/>
      </c>
      <c r="C28" s="669" t="n"/>
      <c r="D28" s="670">
        <f>'Thông tin HV'!D24</f>
        <v/>
      </c>
      <c r="E28" s="671" t="n">
        <v>6</v>
      </c>
      <c r="F28" s="671" t="n">
        <v>7</v>
      </c>
      <c r="G28" s="671">
        <f>(E28+F28)/2</f>
        <v/>
      </c>
      <c r="H28" s="672">
        <f>G28</f>
        <v/>
      </c>
    </row>
    <row r="29" ht="18" customFormat="1" customHeight="1" s="667">
      <c r="A29" s="673" t="inlineStr">
        <is>
          <t>22</t>
        </is>
      </c>
      <c r="B29" s="669">
        <f>'Thông tin HV'!C25</f>
        <v/>
      </c>
      <c r="C29" s="669" t="n"/>
      <c r="D29" s="670">
        <f>'Thông tin HV'!D25</f>
        <v/>
      </c>
      <c r="E29" s="671" t="n">
        <v>6</v>
      </c>
      <c r="F29" s="671" t="n">
        <v>6</v>
      </c>
      <c r="G29" s="671">
        <f>(E29+F29)/2</f>
        <v/>
      </c>
      <c r="H29" s="672">
        <f>G29</f>
        <v/>
      </c>
    </row>
    <row r="30" ht="18" customFormat="1" customHeight="1" s="667">
      <c r="A30" s="673" t="inlineStr">
        <is>
          <t>23</t>
        </is>
      </c>
      <c r="B30" s="669">
        <f>'Thông tin HV'!C26</f>
        <v/>
      </c>
      <c r="C30" s="669" t="n"/>
      <c r="D30" s="670">
        <f>'Thông tin HV'!D26</f>
        <v/>
      </c>
      <c r="E30" s="671" t="n">
        <v>7</v>
      </c>
      <c r="F30" s="671" t="n">
        <v>7</v>
      </c>
      <c r="G30" s="671">
        <f>(E30+F30)/2</f>
        <v/>
      </c>
      <c r="H30" s="672">
        <f>G30</f>
        <v/>
      </c>
    </row>
    <row r="31" ht="18" customFormat="1" customHeight="1" s="667">
      <c r="A31" s="673" t="inlineStr">
        <is>
          <t>24</t>
        </is>
      </c>
      <c r="B31" s="669">
        <f>'Thông tin HV'!C27</f>
        <v/>
      </c>
      <c r="C31" s="669" t="n"/>
      <c r="D31" s="670">
        <f>'Thông tin HV'!D27</f>
        <v/>
      </c>
      <c r="E31" s="671" t="n">
        <v>8</v>
      </c>
      <c r="F31" s="671" t="n">
        <v>8</v>
      </c>
      <c r="G31" s="671">
        <f>(E31+F31)/2</f>
        <v/>
      </c>
      <c r="H31" s="672">
        <f>G31</f>
        <v/>
      </c>
    </row>
    <row r="32" ht="18" customFormat="1" customHeight="1" s="667">
      <c r="A32" s="673" t="inlineStr">
        <is>
          <t>25</t>
        </is>
      </c>
      <c r="B32" s="669">
        <f>'Thông tin HV'!C28</f>
        <v/>
      </c>
      <c r="C32" s="669" t="n"/>
      <c r="D32" s="670">
        <f>'Thông tin HV'!D28</f>
        <v/>
      </c>
      <c r="E32" s="671" t="n">
        <v>7</v>
      </c>
      <c r="F32" s="671" t="n">
        <v>6</v>
      </c>
      <c r="G32" s="671">
        <f>(E32+F32)/2</f>
        <v/>
      </c>
      <c r="H32" s="672">
        <f>G32</f>
        <v/>
      </c>
    </row>
    <row r="33" ht="18" customFormat="1" customHeight="1" s="667">
      <c r="A33" s="673" t="inlineStr">
        <is>
          <t>26</t>
        </is>
      </c>
      <c r="B33" s="669">
        <f>'Thông tin HV'!C29</f>
        <v/>
      </c>
      <c r="C33" s="669" t="n"/>
      <c r="D33" s="670">
        <f>'Thông tin HV'!D29</f>
        <v/>
      </c>
      <c r="E33" s="671" t="n">
        <v>6</v>
      </c>
      <c r="F33" s="671" t="n">
        <v>6</v>
      </c>
      <c r="G33" s="671">
        <f>(E33+F33)/2</f>
        <v/>
      </c>
      <c r="H33" s="672">
        <f>G33</f>
        <v/>
      </c>
    </row>
    <row r="34" ht="18" customFormat="1" customHeight="1" s="667">
      <c r="A34" s="673" t="inlineStr">
        <is>
          <t>27</t>
        </is>
      </c>
      <c r="B34" s="669">
        <f>'Thông tin HV'!C30</f>
        <v/>
      </c>
      <c r="C34" s="669" t="n"/>
      <c r="D34" s="670">
        <f>'Thông tin HV'!D30</f>
        <v/>
      </c>
      <c r="E34" s="671" t="n">
        <v>6</v>
      </c>
      <c r="F34" s="671" t="n">
        <v>7</v>
      </c>
      <c r="G34" s="671">
        <f>(E34+F34)/2</f>
        <v/>
      </c>
      <c r="H34" s="672">
        <f>G34</f>
        <v/>
      </c>
    </row>
    <row r="35" ht="18" customFormat="1" customHeight="1" s="667">
      <c r="A35" s="673" t="inlineStr">
        <is>
          <t>28</t>
        </is>
      </c>
      <c r="B35" s="669">
        <f>'Thông tin HV'!C31</f>
        <v/>
      </c>
      <c r="C35" s="669" t="n"/>
      <c r="D35" s="670">
        <f>'Thông tin HV'!D31</f>
        <v/>
      </c>
      <c r="E35" s="671" t="n">
        <v>6</v>
      </c>
      <c r="F35" s="671" t="n">
        <v>6</v>
      </c>
      <c r="G35" s="671">
        <f>(E35+F35)/2</f>
        <v/>
      </c>
      <c r="H35" s="672">
        <f>G35</f>
        <v/>
      </c>
    </row>
    <row r="36" ht="18" customFormat="1" customHeight="1" s="667">
      <c r="A36" s="673" t="inlineStr">
        <is>
          <t>29</t>
        </is>
      </c>
      <c r="B36" s="669">
        <f>'Thông tin HV'!C32</f>
        <v/>
      </c>
      <c r="C36" s="669" t="n"/>
      <c r="D36" s="670">
        <f>'Thông tin HV'!D32</f>
        <v/>
      </c>
      <c r="E36" s="671" t="n">
        <v>5</v>
      </c>
      <c r="F36" s="671" t="n">
        <v>6</v>
      </c>
      <c r="G36" s="671">
        <f>(E36+F36)/2</f>
        <v/>
      </c>
      <c r="H36" s="672">
        <f>G36</f>
        <v/>
      </c>
    </row>
    <row r="37" ht="18" customFormat="1" customHeight="1" s="667">
      <c r="A37" s="673" t="inlineStr">
        <is>
          <t>30</t>
        </is>
      </c>
      <c r="B37" s="669">
        <f>'Thông tin HV'!C33</f>
        <v/>
      </c>
      <c r="C37" s="669" t="n"/>
      <c r="D37" s="670">
        <f>'Thông tin HV'!D33</f>
        <v/>
      </c>
      <c r="E37" s="671" t="n">
        <v>6</v>
      </c>
      <c r="F37" s="671" t="n">
        <v>7</v>
      </c>
      <c r="G37" s="671">
        <f>(E37+F37)/2</f>
        <v/>
      </c>
      <c r="H37" s="672">
        <f>G37</f>
        <v/>
      </c>
    </row>
    <row r="38" ht="18" customFormat="1" customHeight="1" s="667">
      <c r="A38" s="673" t="inlineStr">
        <is>
          <t>31</t>
        </is>
      </c>
      <c r="B38" s="669">
        <f>'Thông tin HV'!C34</f>
        <v/>
      </c>
      <c r="C38" s="669" t="n"/>
      <c r="D38" s="670">
        <f>'Thông tin HV'!D34</f>
        <v/>
      </c>
      <c r="E38" s="671" t="n">
        <v>6</v>
      </c>
      <c r="F38" s="671" t="n">
        <v>6</v>
      </c>
      <c r="G38" s="671">
        <f>(E38+F38)/2</f>
        <v/>
      </c>
      <c r="H38" s="672">
        <f>G38</f>
        <v/>
      </c>
    </row>
    <row r="39" ht="18" customFormat="1" customHeight="1" s="667">
      <c r="A39" s="673" t="inlineStr">
        <is>
          <t>32</t>
        </is>
      </c>
      <c r="B39" s="669">
        <f>'Thông tin HV'!C35</f>
        <v/>
      </c>
      <c r="C39" s="669" t="n"/>
      <c r="D39" s="670">
        <f>'Thông tin HV'!D35</f>
        <v/>
      </c>
      <c r="E39" s="671" t="n">
        <v>8</v>
      </c>
      <c r="F39" s="671" t="n">
        <v>8</v>
      </c>
      <c r="G39" s="671">
        <f>(E39+F39)/2</f>
        <v/>
      </c>
      <c r="H39" s="672">
        <f>G39</f>
        <v/>
      </c>
    </row>
    <row r="40" ht="18" customFormat="1" customHeight="1" s="667">
      <c r="A40" s="673" t="inlineStr">
        <is>
          <t>33</t>
        </is>
      </c>
      <c r="B40" s="669">
        <f>'Thông tin HV'!C36</f>
        <v/>
      </c>
      <c r="C40" s="669" t="n"/>
      <c r="D40" s="670">
        <f>'Thông tin HV'!D36</f>
        <v/>
      </c>
      <c r="E40" s="671" t="n">
        <v>6</v>
      </c>
      <c r="F40" s="671" t="n">
        <v>6</v>
      </c>
      <c r="G40" s="671">
        <f>(E40+F40)/2</f>
        <v/>
      </c>
      <c r="H40" s="672">
        <f>G40</f>
        <v/>
      </c>
    </row>
    <row r="41" ht="18" customFormat="1" customHeight="1" s="667">
      <c r="A41" s="673" t="inlineStr">
        <is>
          <t>34</t>
        </is>
      </c>
      <c r="B41" s="669">
        <f>'Thông tin HV'!C37</f>
        <v/>
      </c>
      <c r="C41" s="669" t="n"/>
      <c r="D41" s="670">
        <f>'Thông tin HV'!D37</f>
        <v/>
      </c>
      <c r="E41" s="674" t="n"/>
      <c r="F41" s="674" t="n"/>
      <c r="G41" s="675" t="n"/>
      <c r="H41" s="674" t="n"/>
    </row>
    <row r="42" ht="18" customFormat="1" customHeight="1" s="667">
      <c r="A42" s="676" t="inlineStr">
        <is>
          <t>35</t>
        </is>
      </c>
      <c r="B42" s="669">
        <f>'Thông tin HV'!C38</f>
        <v/>
      </c>
      <c r="C42" s="669" t="n"/>
      <c r="D42" s="670">
        <f>'Thông tin HV'!D38</f>
        <v/>
      </c>
      <c r="E42" s="677" t="n"/>
      <c r="F42" s="677" t="n"/>
      <c r="G42" s="678" t="n"/>
      <c r="H42" s="677" t="n"/>
    </row>
    <row r="43" ht="19.5" customFormat="1" customHeight="1" s="679">
      <c r="A43" s="438" t="n"/>
      <c r="B43" s="438" t="n"/>
      <c r="C43" s="438" t="n"/>
      <c r="D43" s="438" t="n"/>
      <c r="E43" s="438" t="n"/>
      <c r="F43" s="438" t="n"/>
      <c r="G43" s="680">
        <f>"Đăk Tô, ngày ..… tháng ….. năm "&amp;'THỐNG KÊ'!E5</f>
        <v/>
      </c>
      <c r="H43" s="438" t="n"/>
    </row>
    <row r="44" ht="17.25" customFormat="1" customHeight="1" s="681">
      <c r="A44" s="663" t="inlineStr">
        <is>
          <t>CHỦ TỊCH HỘI ĐỒNG</t>
        </is>
      </c>
      <c r="F44" s="682" t="n"/>
      <c r="G44" s="663" t="inlineStr">
        <is>
          <t>THƯ KÝ</t>
        </is>
      </c>
      <c r="H44" s="682" t="n"/>
    </row>
    <row r="45" ht="15.4" customHeight="1" s="393">
      <c r="A45" s="392" t="n"/>
      <c r="B45" s="392" t="n"/>
      <c r="C45" s="392" t="n"/>
      <c r="D45" s="392" t="n"/>
      <c r="E45" s="392" t="n"/>
      <c r="F45" s="392" t="n"/>
      <c r="G45" s="392" t="n"/>
      <c r="H45" s="392" t="n"/>
    </row>
    <row r="46" ht="15.4" customHeight="1" s="393">
      <c r="A46" s="392" t="n"/>
      <c r="B46" s="392" t="n"/>
      <c r="C46" s="392" t="n"/>
      <c r="D46" s="392" t="n"/>
      <c r="E46" s="392" t="n"/>
      <c r="F46" s="392" t="n"/>
      <c r="G46" s="392" t="n"/>
      <c r="H46" s="392" t="n"/>
    </row>
    <row r="47" ht="15.4" customHeight="1" s="393">
      <c r="A47" s="392" t="n"/>
      <c r="B47" s="392" t="n"/>
      <c r="C47" s="392" t="n"/>
      <c r="D47" s="392" t="n"/>
      <c r="E47" s="392" t="n"/>
      <c r="F47" s="392" t="n"/>
      <c r="G47" s="392" t="n"/>
      <c r="H47" s="392" t="n"/>
    </row>
    <row r="48" ht="15.4" customHeight="1" s="393">
      <c r="A48" s="392" t="n"/>
      <c r="B48" s="392" t="n"/>
      <c r="C48" s="392" t="n"/>
      <c r="D48" s="392" t="n"/>
      <c r="E48" s="392" t="n"/>
      <c r="F48" s="392" t="n"/>
      <c r="G48" s="392" t="n"/>
      <c r="H48" s="392" t="n"/>
    </row>
    <row r="49" ht="15.4" customHeight="1" s="393">
      <c r="A49" s="392" t="n"/>
      <c r="B49" s="392" t="n"/>
      <c r="C49" s="392" t="n"/>
      <c r="D49" s="392" t="n"/>
      <c r="E49" s="392" t="n"/>
      <c r="F49" s="392" t="n"/>
      <c r="G49" s="392" t="n"/>
      <c r="H49" s="392" t="n"/>
    </row>
    <row r="50" ht="15.4" customHeight="1" s="393">
      <c r="A50" s="392" t="n"/>
      <c r="B50" s="392" t="n"/>
      <c r="C50" s="392" t="n"/>
      <c r="D50" s="392" t="n"/>
      <c r="E50" s="392" t="n"/>
      <c r="F50" s="392" t="n"/>
      <c r="G50" s="392" t="n"/>
      <c r="H50" s="392" t="n"/>
    </row>
    <row r="51" ht="15.4" customHeight="1" s="393">
      <c r="A51" s="392" t="n"/>
      <c r="B51" s="392" t="n"/>
      <c r="C51" s="392" t="n"/>
      <c r="D51" s="392" t="n"/>
      <c r="E51" s="392" t="n"/>
      <c r="F51" s="392" t="n"/>
      <c r="G51" s="392" t="n"/>
      <c r="H51" s="392" t="n"/>
    </row>
    <row r="52" ht="15.4" customHeight="1" s="393">
      <c r="A52" s="392" t="n"/>
      <c r="B52" s="392" t="n"/>
      <c r="C52" s="392" t="n"/>
      <c r="D52" s="392" t="n"/>
      <c r="E52" s="392" t="n"/>
      <c r="F52" s="392" t="n"/>
      <c r="G52" s="392" t="n"/>
      <c r="H52" s="392" t="n"/>
    </row>
    <row r="53" ht="15.4" customHeight="1" s="393">
      <c r="A53" s="392" t="n"/>
      <c r="B53" s="392" t="n"/>
      <c r="C53" s="392" t="n"/>
      <c r="D53" s="392" t="n"/>
      <c r="E53" s="392" t="n"/>
      <c r="F53" s="392" t="n"/>
      <c r="G53" s="392" t="n"/>
      <c r="H53" s="392" t="n"/>
    </row>
    <row r="54" ht="15.4" customHeight="1" s="393">
      <c r="A54" s="392" t="n"/>
      <c r="B54" s="392" t="n"/>
      <c r="C54" s="392" t="n"/>
      <c r="D54" s="392" t="n"/>
      <c r="E54" s="392" t="n"/>
      <c r="F54" s="392" t="n"/>
      <c r="G54" s="392" t="n"/>
      <c r="H54" s="392" t="n"/>
    </row>
    <row r="55" ht="15.4" customHeight="1" s="393">
      <c r="A55" s="392" t="n"/>
      <c r="B55" s="392" t="n"/>
      <c r="C55" s="392" t="n"/>
      <c r="D55" s="392" t="n"/>
      <c r="E55" s="392" t="n"/>
      <c r="F55" s="392" t="n"/>
      <c r="G55" s="392" t="n"/>
      <c r="H55" s="392" t="n"/>
    </row>
    <row r="56" ht="15.4" customHeight="1" s="393">
      <c r="A56" s="392" t="n"/>
      <c r="B56" s="392" t="n"/>
      <c r="C56" s="392" t="n"/>
      <c r="D56" s="392" t="n"/>
      <c r="E56" s="392" t="n"/>
      <c r="F56" s="392" t="n"/>
      <c r="G56" s="392" t="n"/>
      <c r="H56" s="392" t="n"/>
    </row>
    <row r="57" ht="15.4" customHeight="1" s="393">
      <c r="A57" s="392" t="n"/>
      <c r="B57" s="392" t="n"/>
      <c r="C57" s="392" t="n"/>
      <c r="D57" s="392" t="n"/>
      <c r="E57" s="392" t="n"/>
      <c r="F57" s="392" t="n"/>
      <c r="G57" s="392" t="n"/>
      <c r="H57" s="392" t="n"/>
    </row>
    <row r="58" ht="15.4" customHeight="1" s="393">
      <c r="A58" s="392" t="n"/>
      <c r="B58" s="392" t="n"/>
      <c r="C58" s="392" t="n"/>
      <c r="D58" s="392" t="n"/>
      <c r="E58" s="392" t="n"/>
      <c r="F58" s="392" t="n"/>
      <c r="G58" s="392" t="n"/>
      <c r="H58" s="392" t="n"/>
    </row>
    <row r="59" ht="15.4" customHeight="1" s="393">
      <c r="A59" s="392" t="n"/>
      <c r="B59" s="392" t="n"/>
      <c r="C59" s="392" t="n"/>
      <c r="D59" s="392" t="n"/>
      <c r="E59" s="392" t="n"/>
      <c r="F59" s="392" t="n"/>
      <c r="G59" s="392" t="n"/>
      <c r="H59" s="392" t="n"/>
    </row>
    <row r="60" ht="15.4" customHeight="1" s="393">
      <c r="A60" s="392" t="n"/>
      <c r="B60" s="392" t="n"/>
      <c r="C60" s="392" t="n"/>
      <c r="D60" s="392" t="n"/>
      <c r="E60" s="392" t="n"/>
      <c r="F60" s="392" t="n"/>
      <c r="G60" s="392" t="n"/>
      <c r="H60" s="392" t="n"/>
    </row>
    <row r="61" ht="15.4" customHeight="1" s="393">
      <c r="A61" s="392" t="n"/>
      <c r="B61" s="392" t="n"/>
      <c r="C61" s="392" t="n"/>
      <c r="D61" s="392" t="n"/>
      <c r="E61" s="392" t="n"/>
      <c r="F61" s="392" t="n"/>
      <c r="G61" s="392" t="n"/>
      <c r="H61" s="392" t="n"/>
    </row>
    <row r="62" ht="15.4" customHeight="1" s="393">
      <c r="A62" s="392" t="n"/>
      <c r="B62" s="392" t="n"/>
      <c r="C62" s="392" t="n"/>
      <c r="D62" s="392" t="n"/>
      <c r="E62" s="392" t="n"/>
      <c r="F62" s="392" t="n"/>
      <c r="G62" s="392" t="n"/>
      <c r="H62" s="392" t="n"/>
    </row>
    <row r="63" ht="15.4" customHeight="1" s="393">
      <c r="A63" s="392" t="n"/>
      <c r="B63" s="392" t="n"/>
      <c r="C63" s="392" t="n"/>
      <c r="D63" s="392" t="n"/>
      <c r="E63" s="392" t="n"/>
      <c r="F63" s="392" t="n"/>
      <c r="G63" s="392" t="n"/>
      <c r="H63" s="392" t="n"/>
    </row>
    <row r="64" ht="15.4" customHeight="1" s="393">
      <c r="A64" s="392" t="n"/>
      <c r="B64" s="392" t="n"/>
      <c r="C64" s="392" t="n"/>
      <c r="D64" s="392" t="n"/>
      <c r="E64" s="392" t="n"/>
      <c r="F64" s="392" t="n"/>
      <c r="G64" s="392" t="n"/>
      <c r="H64" s="392" t="n"/>
    </row>
    <row r="65" ht="15.4" customHeight="1" s="393">
      <c r="A65" s="392" t="n"/>
      <c r="B65" s="392" t="n"/>
      <c r="C65" s="392" t="n"/>
      <c r="D65" s="392" t="n"/>
      <c r="E65" s="392" t="n"/>
      <c r="F65" s="392" t="n"/>
      <c r="G65" s="392" t="n"/>
      <c r="H65" s="392" t="n"/>
    </row>
    <row r="66" ht="15.4" customHeight="1" s="393">
      <c r="A66" s="392" t="n"/>
      <c r="B66" s="392" t="n"/>
      <c r="C66" s="392" t="n"/>
      <c r="D66" s="392" t="n"/>
      <c r="E66" s="392" t="n"/>
      <c r="F66" s="392" t="n"/>
      <c r="G66" s="392" t="n"/>
      <c r="H66" s="392" t="n"/>
    </row>
    <row r="67" ht="15.4" customHeight="1" s="393">
      <c r="A67" s="392" t="n"/>
      <c r="B67" s="392" t="n"/>
      <c r="C67" s="392" t="n"/>
      <c r="D67" s="392" t="n"/>
      <c r="E67" s="392" t="n"/>
      <c r="F67" s="392" t="n"/>
      <c r="G67" s="392" t="n"/>
      <c r="H67" s="392" t="n"/>
    </row>
    <row r="68" ht="15.4" customHeight="1" s="393">
      <c r="A68" s="392" t="n"/>
      <c r="B68" s="392" t="n"/>
      <c r="C68" s="392" t="n"/>
      <c r="D68" s="392" t="n"/>
      <c r="E68" s="392" t="n"/>
      <c r="F68" s="392" t="n"/>
      <c r="G68" s="392" t="n"/>
      <c r="H68" s="392" t="n"/>
    </row>
    <row r="69" ht="15.4" customHeight="1" s="393">
      <c r="A69" s="392" t="n"/>
      <c r="B69" s="392" t="n"/>
      <c r="C69" s="392" t="n"/>
      <c r="D69" s="392" t="n"/>
      <c r="E69" s="392" t="n"/>
      <c r="F69" s="392" t="n"/>
      <c r="G69" s="392" t="n"/>
      <c r="H69" s="392" t="n"/>
    </row>
    <row r="70" ht="15.4" customHeight="1" s="393">
      <c r="A70" s="392" t="n"/>
      <c r="B70" s="392" t="n"/>
      <c r="C70" s="392" t="n"/>
      <c r="D70" s="392" t="n"/>
      <c r="E70" s="392" t="n"/>
      <c r="F70" s="392" t="n"/>
      <c r="G70" s="392" t="n"/>
      <c r="H70" s="392" t="n"/>
    </row>
    <row r="71" ht="15.4" customHeight="1" s="393">
      <c r="A71" s="392" t="n"/>
      <c r="B71" s="392" t="n"/>
      <c r="C71" s="392" t="n"/>
      <c r="D71" s="392" t="n"/>
      <c r="E71" s="392" t="n"/>
      <c r="F71" s="392" t="n"/>
      <c r="G71" s="392" t="n"/>
      <c r="H71" s="392" t="n"/>
    </row>
    <row r="72" ht="15.4" customHeight="1" s="393">
      <c r="A72" s="392" t="n"/>
      <c r="B72" s="392" t="n"/>
      <c r="C72" s="392" t="n"/>
      <c r="D72" s="392" t="n"/>
      <c r="E72" s="392" t="n"/>
      <c r="F72" s="392" t="n"/>
      <c r="G72" s="392" t="n"/>
      <c r="H72" s="392" t="n"/>
    </row>
    <row r="73" ht="15.4" customHeight="1" s="393">
      <c r="A73" s="392" t="n"/>
      <c r="B73" s="392" t="n"/>
      <c r="C73" s="392" t="n"/>
      <c r="D73" s="392" t="n"/>
      <c r="E73" s="392" t="n"/>
      <c r="F73" s="392" t="n"/>
      <c r="G73" s="392" t="n"/>
      <c r="H73" s="392" t="n"/>
    </row>
    <row r="74" ht="15.4" customHeight="1" s="393">
      <c r="A74" s="392" t="n"/>
      <c r="B74" s="392" t="n"/>
      <c r="C74" s="392" t="n"/>
      <c r="D74" s="392" t="n"/>
      <c r="E74" s="392" t="n"/>
      <c r="F74" s="392" t="n"/>
      <c r="G74" s="392" t="n"/>
      <c r="H74" s="392" t="n"/>
    </row>
    <row r="75" ht="15.4" customHeight="1" s="393">
      <c r="A75" s="392" t="n"/>
      <c r="B75" s="392" t="n"/>
      <c r="C75" s="392" t="n"/>
      <c r="D75" s="392" t="n"/>
      <c r="E75" s="392" t="n"/>
      <c r="F75" s="392" t="n"/>
      <c r="G75" s="392" t="n"/>
      <c r="H75" s="392" t="n"/>
    </row>
    <row r="76" ht="15.4" customHeight="1" s="393">
      <c r="A76" s="392" t="n"/>
      <c r="B76" s="392" t="n"/>
      <c r="C76" s="392" t="n"/>
      <c r="D76" s="392" t="n"/>
      <c r="E76" s="392" t="n"/>
      <c r="F76" s="392" t="n"/>
      <c r="G76" s="392" t="n"/>
      <c r="H76" s="392" t="n"/>
    </row>
    <row r="77" ht="15.4" customHeight="1" s="393">
      <c r="A77" s="392" t="n"/>
      <c r="B77" s="392" t="n"/>
      <c r="C77" s="392" t="n"/>
      <c r="D77" s="392" t="n"/>
      <c r="E77" s="392" t="n"/>
      <c r="F77" s="392" t="n"/>
      <c r="G77" s="392" t="n"/>
      <c r="H77" s="392" t="n"/>
    </row>
    <row r="78" ht="15.4" customHeight="1" s="393">
      <c r="A78" s="392" t="n"/>
      <c r="B78" s="392" t="n"/>
      <c r="C78" s="392" t="n"/>
      <c r="D78" s="392" t="n"/>
      <c r="E78" s="392" t="n"/>
      <c r="F78" s="392" t="n"/>
      <c r="G78" s="392" t="n"/>
      <c r="H78" s="392" t="n"/>
    </row>
    <row r="79" ht="15.4" customHeight="1" s="393">
      <c r="A79" s="392" t="n"/>
      <c r="B79" s="392" t="n"/>
      <c r="C79" s="392" t="n"/>
      <c r="D79" s="392" t="n"/>
      <c r="E79" s="392" t="n"/>
      <c r="F79" s="392" t="n"/>
      <c r="G79" s="392" t="n"/>
      <c r="H79" s="392" t="n"/>
    </row>
    <row r="80" ht="15.4" customHeight="1" s="393">
      <c r="A80" s="392" t="n"/>
      <c r="B80" s="392" t="n"/>
      <c r="C80" s="392" t="n"/>
      <c r="D80" s="392" t="n"/>
      <c r="E80" s="392" t="n"/>
      <c r="F80" s="392" t="n"/>
      <c r="G80" s="392" t="n"/>
      <c r="H80" s="392" t="n"/>
    </row>
    <row r="81" ht="15.4" customHeight="1" s="393">
      <c r="A81" s="392" t="n"/>
      <c r="B81" s="392" t="n"/>
      <c r="C81" s="392" t="n"/>
      <c r="D81" s="392" t="n"/>
      <c r="E81" s="392" t="n"/>
      <c r="F81" s="392" t="n"/>
      <c r="G81" s="392" t="n"/>
      <c r="H81" s="392" t="n"/>
    </row>
    <row r="82" ht="15.4" customHeight="1" s="393">
      <c r="A82" s="392" t="n"/>
      <c r="B82" s="392" t="n"/>
      <c r="C82" s="392" t="n"/>
      <c r="D82" s="392" t="n"/>
      <c r="E82" s="392" t="n"/>
      <c r="F82" s="392" t="n"/>
      <c r="G82" s="392" t="n"/>
      <c r="H82" s="392" t="n"/>
    </row>
    <row r="83" ht="15.4" customHeight="1" s="393">
      <c r="A83" s="392" t="n"/>
      <c r="B83" s="392" t="n"/>
      <c r="C83" s="392" t="n"/>
      <c r="D83" s="392" t="n"/>
      <c r="E83" s="392" t="n"/>
      <c r="F83" s="392" t="n"/>
      <c r="G83" s="392" t="n"/>
      <c r="H83" s="392" t="n"/>
    </row>
    <row r="84" ht="15.4" customHeight="1" s="393">
      <c r="A84" s="392" t="n"/>
      <c r="B84" s="392" t="n"/>
      <c r="C84" s="392" t="n"/>
      <c r="D84" s="392" t="n"/>
      <c r="E84" s="392" t="n"/>
      <c r="F84" s="392" t="n"/>
      <c r="G84" s="392" t="n"/>
      <c r="H84" s="392" t="n"/>
    </row>
    <row r="85" ht="15.4" customHeight="1" s="393">
      <c r="A85" s="392" t="n"/>
      <c r="B85" s="392" t="n"/>
      <c r="C85" s="392" t="n"/>
      <c r="D85" s="392" t="n"/>
      <c r="E85" s="392" t="n"/>
      <c r="F85" s="392" t="n"/>
      <c r="G85" s="392" t="n"/>
      <c r="H85" s="392" t="n"/>
    </row>
    <row r="86" ht="15.4" customHeight="1" s="393">
      <c r="A86" s="392" t="n"/>
      <c r="B86" s="392" t="n"/>
      <c r="C86" s="392" t="n"/>
      <c r="D86" s="392" t="n"/>
      <c r="E86" s="392" t="n"/>
      <c r="F86" s="392" t="n"/>
      <c r="G86" s="392" t="n"/>
      <c r="H86" s="392" t="n"/>
    </row>
    <row r="87" ht="15.4" customHeight="1" s="393">
      <c r="A87" s="392" t="n"/>
      <c r="B87" s="392" t="n"/>
      <c r="C87" s="392" t="n"/>
      <c r="D87" s="392" t="n"/>
      <c r="E87" s="392" t="n"/>
      <c r="F87" s="392" t="n"/>
      <c r="G87" s="392" t="n"/>
      <c r="H87" s="392" t="n"/>
    </row>
    <row r="88" ht="15.4" customHeight="1" s="393">
      <c r="A88" s="392" t="n"/>
      <c r="B88" s="392" t="n"/>
      <c r="C88" s="392" t="n"/>
      <c r="D88" s="392" t="n"/>
      <c r="E88" s="392" t="n"/>
      <c r="F88" s="392" t="n"/>
      <c r="G88" s="392" t="n"/>
      <c r="H88" s="392" t="n"/>
    </row>
    <row r="89" ht="15.4" customHeight="1" s="393">
      <c r="A89" s="392" t="n"/>
      <c r="B89" s="392" t="n"/>
      <c r="C89" s="392" t="n"/>
      <c r="D89" s="392" t="n"/>
      <c r="E89" s="392" t="n"/>
      <c r="F89" s="392" t="n"/>
      <c r="G89" s="392" t="n"/>
      <c r="H89" s="392" t="n"/>
    </row>
    <row r="90" ht="15.4" customHeight="1" s="393">
      <c r="A90" s="392" t="n"/>
      <c r="B90" s="392" t="n"/>
      <c r="C90" s="392" t="n"/>
      <c r="D90" s="392" t="n"/>
      <c r="E90" s="392" t="n"/>
      <c r="F90" s="392" t="n"/>
      <c r="G90" s="392" t="n"/>
      <c r="H90" s="392" t="n"/>
    </row>
    <row r="91" ht="15.4" customHeight="1" s="393">
      <c r="A91" s="392" t="n"/>
      <c r="B91" s="392" t="n"/>
      <c r="C91" s="392" t="n"/>
      <c r="D91" s="392" t="n"/>
      <c r="E91" s="392" t="n"/>
      <c r="F91" s="392" t="n"/>
      <c r="G91" s="392" t="n"/>
      <c r="H91" s="392" t="n"/>
    </row>
    <row r="92" ht="15.4" customHeight="1" s="393">
      <c r="A92" s="392" t="n"/>
      <c r="B92" s="392" t="n"/>
      <c r="C92" s="392" t="n"/>
      <c r="D92" s="392" t="n"/>
      <c r="E92" s="392" t="n"/>
      <c r="F92" s="392" t="n"/>
      <c r="G92" s="392" t="n"/>
      <c r="H92" s="392" t="n"/>
    </row>
    <row r="93" ht="15.4" customHeight="1" s="393">
      <c r="A93" s="392" t="n"/>
      <c r="B93" s="392" t="n"/>
      <c r="C93" s="392" t="n"/>
      <c r="D93" s="392" t="n"/>
      <c r="E93" s="392" t="n"/>
      <c r="F93" s="392" t="n"/>
      <c r="G93" s="392" t="n"/>
      <c r="H93" s="392" t="n"/>
    </row>
    <row r="94" ht="15.4" customHeight="1" s="393">
      <c r="A94" s="392" t="n"/>
      <c r="B94" s="392" t="n"/>
      <c r="C94" s="392" t="n"/>
      <c r="D94" s="392" t="n"/>
      <c r="E94" s="392" t="n"/>
      <c r="F94" s="392" t="n"/>
      <c r="G94" s="392" t="n"/>
      <c r="H94" s="392" t="n"/>
    </row>
    <row r="95" ht="15.4" customHeight="1" s="393">
      <c r="A95" s="392" t="n"/>
      <c r="B95" s="392" t="n"/>
      <c r="C95" s="392" t="n"/>
      <c r="D95" s="392" t="n"/>
      <c r="E95" s="392" t="n"/>
      <c r="F95" s="392" t="n"/>
      <c r="G95" s="392" t="n"/>
      <c r="H95" s="392" t="n"/>
    </row>
    <row r="96" ht="15.4" customHeight="1" s="393">
      <c r="A96" s="392" t="n"/>
      <c r="B96" s="392" t="n"/>
      <c r="C96" s="392" t="n"/>
      <c r="D96" s="392" t="n"/>
      <c r="E96" s="392" t="n"/>
      <c r="F96" s="392" t="n"/>
      <c r="G96" s="392" t="n"/>
      <c r="H96" s="392" t="n"/>
    </row>
    <row r="97" ht="15.4" customHeight="1" s="393">
      <c r="A97" s="392" t="n"/>
      <c r="B97" s="392" t="n"/>
      <c r="C97" s="392" t="n"/>
      <c r="D97" s="392" t="n"/>
      <c r="E97" s="392" t="n"/>
      <c r="F97" s="392" t="n"/>
      <c r="G97" s="392" t="n"/>
      <c r="H97" s="392" t="n"/>
    </row>
    <row r="98" ht="15.4" customHeight="1" s="393">
      <c r="A98" s="392" t="n"/>
      <c r="B98" s="392" t="n"/>
      <c r="C98" s="392" t="n"/>
      <c r="D98" s="392" t="n"/>
      <c r="E98" s="392" t="n"/>
      <c r="F98" s="392" t="n"/>
      <c r="G98" s="392" t="n"/>
      <c r="H98" s="392" t="n"/>
    </row>
    <row r="99" ht="15.4" customHeight="1" s="393">
      <c r="A99" s="392" t="n"/>
      <c r="B99" s="392" t="n"/>
      <c r="C99" s="392" t="n"/>
      <c r="D99" s="392" t="n"/>
      <c r="E99" s="392" t="n"/>
      <c r="F99" s="392" t="n"/>
      <c r="G99" s="392" t="n"/>
      <c r="H99" s="392" t="n"/>
    </row>
    <row r="100" ht="15.4" customHeight="1" s="393">
      <c r="A100" s="392" t="n"/>
      <c r="B100" s="392" t="n"/>
      <c r="C100" s="392" t="n"/>
      <c r="D100" s="392" t="n"/>
      <c r="E100" s="392" t="n"/>
      <c r="F100" s="392" t="n"/>
      <c r="G100" s="392" t="n"/>
      <c r="H100" s="392" t="n"/>
    </row>
    <row r="101" ht="15.4" customHeight="1" s="393">
      <c r="A101" s="392" t="n"/>
      <c r="B101" s="392" t="n"/>
      <c r="C101" s="392" t="n"/>
      <c r="D101" s="392" t="n"/>
      <c r="E101" s="392" t="n"/>
      <c r="F101" s="392" t="n"/>
      <c r="G101" s="392" t="n"/>
      <c r="H101" s="392" t="n"/>
    </row>
    <row r="102" ht="15.4" customHeight="1" s="393">
      <c r="A102" s="392" t="n"/>
      <c r="B102" s="392" t="n"/>
      <c r="C102" s="392" t="n"/>
      <c r="D102" s="392" t="n"/>
      <c r="E102" s="392" t="n"/>
      <c r="F102" s="392" t="n"/>
      <c r="G102" s="392" t="n"/>
      <c r="H102" s="392" t="n"/>
    </row>
    <row r="103" ht="15.4" customHeight="1" s="393">
      <c r="A103" s="392" t="n"/>
      <c r="B103" s="392" t="n"/>
      <c r="C103" s="392" t="n"/>
      <c r="D103" s="392" t="n"/>
      <c r="E103" s="392" t="n"/>
      <c r="F103" s="392" t="n"/>
      <c r="G103" s="392" t="n"/>
      <c r="H103" s="392" t="n"/>
    </row>
  </sheetData>
  <mergeCells count="7">
    <mergeCell ref="A4:H4"/>
    <mergeCell ref="A2:E2"/>
    <mergeCell ref="F1:H1"/>
    <mergeCell ref="A1:E1"/>
    <mergeCell ref="F2:H2"/>
    <mergeCell ref="A5:H5"/>
    <mergeCell ref="A44:E44"/>
  </mergeCells>
  <printOptions horizontalCentered="0" verticalCentered="0" headings="0" gridLines="0" gridLinesSet="1"/>
  <pageMargins left="0.433333333333333" right="0.39375" top="0.39375" bottom="0.354166666666667"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BJ59"/>
  <sheetViews>
    <sheetView showFormulas="0" showGridLines="1" showRowColHeaders="1" showZeros="1" rightToLeft="0" tabSelected="0" showOutlineSymbols="1" defaultGridColor="1" view="normal" topLeftCell="AJ1" colorId="64" zoomScale="85" zoomScaleNormal="85" zoomScalePageLayoutView="100" workbookViewId="0">
      <selection pane="topLeft" activeCell="BJ19" activeCellId="0" sqref="BJ19"/>
    </sheetView>
  </sheetViews>
  <sheetFormatPr baseColWidth="8" defaultColWidth="8.43359375" defaultRowHeight="15.4" zeroHeight="0" outlineLevelRow="0"/>
  <cols>
    <col width="3.36" customWidth="1" style="683" min="1" max="1"/>
    <col width="13.24" customWidth="1" style="683" min="2" max="2"/>
    <col width="22.37" customWidth="1" style="684" min="3" max="5"/>
    <col width="4.55" customWidth="1" style="683" min="6" max="7"/>
    <col width="4.8" customWidth="1" style="683" min="8" max="9"/>
    <col width="6.8" customWidth="1" style="685" min="10" max="10"/>
    <col width="9.369999999999999" customWidth="1" style="683" min="11" max="11"/>
    <col width="10.56" customWidth="1" style="685" min="12" max="12"/>
    <col width="4.55" customWidth="1" style="683" min="13" max="14"/>
    <col width="4.8" customWidth="1" style="683" min="15" max="16"/>
    <col width="6.8" customWidth="1" style="685" min="17" max="17"/>
    <col width="9.369999999999999" customWidth="1" style="683" min="18" max="18"/>
    <col width="10.56" customWidth="1" style="685" min="19" max="19"/>
    <col width="4.55" customWidth="1" style="683" min="20" max="21"/>
    <col width="7.5" customWidth="1" style="685" min="22" max="22"/>
    <col width="8.31" customWidth="1" style="685" min="23" max="23"/>
    <col width="4.55" customWidth="1" style="683" min="24" max="25"/>
    <col width="4.8" customWidth="1" style="683" min="26" max="27"/>
    <col width="6.8" customWidth="1" style="685" min="28" max="28"/>
    <col width="9.369999999999999" customWidth="1" style="683" min="29" max="29"/>
    <col width="10.56" customWidth="1" style="685" min="30" max="30"/>
    <col width="4.55" customWidth="1" style="683" min="31" max="32"/>
    <col width="4.8" customWidth="1" style="683" min="33" max="34"/>
    <col width="6.8" customWidth="1" style="685" min="35" max="35"/>
    <col width="9.369999999999999" customWidth="1" style="683" min="36" max="36"/>
    <col width="10.56" customWidth="1" style="685" min="37" max="37"/>
    <col width="4.55" customWidth="1" style="683" min="38" max="39"/>
    <col width="7.5" customWidth="1" style="685" min="40" max="40"/>
    <col width="8.31" customWidth="1" style="685" min="41" max="41"/>
    <col width="4.55" customWidth="1" style="683" min="42" max="43"/>
    <col width="4.8" customWidth="1" style="683" min="44" max="45"/>
    <col width="6.8" customWidth="1" style="685" min="46" max="46"/>
    <col width="9.369999999999999" customWidth="1" style="683" min="47" max="47"/>
    <col width="10.56" customWidth="1" style="685" min="48" max="48"/>
    <col width="4.55" customWidth="1" style="683" min="49" max="50"/>
    <col width="4.8" customWidth="1" style="683" min="51" max="52"/>
    <col width="6.8" customWidth="1" style="685" min="53" max="53"/>
    <col width="9.369999999999999" customWidth="1" style="683" min="54" max="54"/>
    <col width="10.56" customWidth="1" style="685" min="55" max="55"/>
    <col width="4.55" customWidth="1" style="683" min="56" max="57"/>
    <col width="7.5" customWidth="1" style="685" min="58" max="58"/>
    <col width="8.31" customWidth="1" style="685" min="59" max="59"/>
    <col width="10.06" customWidth="1" style="686" min="60" max="60"/>
    <col width="14.74" customWidth="1" style="686" min="61" max="61"/>
    <col width="8.43" customWidth="1" style="684" min="62" max="257"/>
  </cols>
  <sheetData>
    <row r="1" ht="27" customFormat="1" customHeight="1" s="687">
      <c r="A1" s="688" t="inlineStr">
        <is>
          <t>Số
TT</t>
        </is>
      </c>
      <c r="B1" s="689" t="inlineStr">
        <is>
          <t>Mã số
HV</t>
        </is>
      </c>
      <c r="C1" s="690" t="inlineStr">
        <is>
          <t>Họ và tên</t>
        </is>
      </c>
      <c r="D1" s="567" t="n"/>
      <c r="E1" s="690" t="inlineStr">
        <is>
          <t>Năm sinh</t>
        </is>
      </c>
      <c r="F1" s="691" t="inlineStr">
        <is>
          <t>MÔ ĐUN 1</t>
        </is>
      </c>
      <c r="G1" s="432" t="n"/>
      <c r="H1" s="432" t="n"/>
      <c r="I1" s="432" t="n"/>
      <c r="J1" s="432" t="n"/>
      <c r="K1" s="432" t="n"/>
      <c r="L1" s="432" t="n"/>
      <c r="M1" s="432" t="n"/>
      <c r="N1" s="432" t="n"/>
      <c r="O1" s="432" t="n"/>
      <c r="P1" s="432" t="n"/>
      <c r="Q1" s="432" t="n"/>
      <c r="R1" s="432" t="n"/>
      <c r="S1" s="432" t="n"/>
      <c r="T1" s="432" t="n"/>
      <c r="U1" s="432" t="n"/>
      <c r="V1" s="432" t="n"/>
      <c r="W1" s="407" t="n"/>
      <c r="X1" s="692" t="inlineStr">
        <is>
          <t>MÔ ĐUN 2</t>
        </is>
      </c>
      <c r="Y1" s="432" t="n"/>
      <c r="Z1" s="432" t="n"/>
      <c r="AA1" s="432" t="n"/>
      <c r="AB1" s="432" t="n"/>
      <c r="AC1" s="432" t="n"/>
      <c r="AD1" s="432" t="n"/>
      <c r="AE1" s="432" t="n"/>
      <c r="AF1" s="432" t="n"/>
      <c r="AG1" s="432" t="n"/>
      <c r="AH1" s="432" t="n"/>
      <c r="AI1" s="432" t="n"/>
      <c r="AJ1" s="432" t="n"/>
      <c r="AK1" s="432" t="n"/>
      <c r="AL1" s="432" t="n"/>
      <c r="AM1" s="432" t="n"/>
      <c r="AN1" s="432" t="n"/>
      <c r="AO1" s="407" t="n"/>
      <c r="AP1" s="693" t="inlineStr">
        <is>
          <t>MÔ ĐUN 3</t>
        </is>
      </c>
      <c r="AQ1" s="432" t="n"/>
      <c r="AR1" s="432" t="n"/>
      <c r="AS1" s="432" t="n"/>
      <c r="AT1" s="432" t="n"/>
      <c r="AU1" s="432" t="n"/>
      <c r="AV1" s="432" t="n"/>
      <c r="AW1" s="432" t="n"/>
      <c r="AX1" s="432" t="n"/>
      <c r="AY1" s="432" t="n"/>
      <c r="AZ1" s="432" t="n"/>
      <c r="BA1" s="432" t="n"/>
      <c r="BB1" s="432" t="n"/>
      <c r="BC1" s="432" t="n"/>
      <c r="BD1" s="432" t="n"/>
      <c r="BE1" s="432" t="n"/>
      <c r="BF1" s="432" t="n"/>
      <c r="BG1" s="407" t="n"/>
      <c r="BH1" s="694" t="inlineStr">
        <is>
          <t>Điểm tổng
kết khóa học</t>
        </is>
      </c>
      <c r="BI1" s="694" t="inlineStr">
        <is>
          <t>Xếp loại 
tốt nghiệp</t>
        </is>
      </c>
      <c r="BJ1" s="695" t="inlineStr">
        <is>
          <t>Tốt 
nghiệp</t>
        </is>
      </c>
    </row>
    <row r="2" ht="27" customFormat="1" customHeight="1" s="687">
      <c r="A2" s="696" t="n"/>
      <c r="B2" s="421" t="n"/>
      <c r="C2" s="697" t="n"/>
      <c r="D2" s="696" t="n"/>
      <c r="E2" s="421" t="n"/>
      <c r="F2" s="691" t="inlineStr">
        <is>
          <t>Tín chỉ 1.1</t>
        </is>
      </c>
      <c r="G2" s="432" t="n"/>
      <c r="H2" s="432" t="n"/>
      <c r="I2" s="432" t="n"/>
      <c r="J2" s="432" t="n"/>
      <c r="K2" s="432" t="n"/>
      <c r="L2" s="407" t="n"/>
      <c r="M2" s="691" t="inlineStr">
        <is>
          <t>Tín chỉ 1.2</t>
        </is>
      </c>
      <c r="N2" s="432" t="n"/>
      <c r="O2" s="432" t="n"/>
      <c r="P2" s="432" t="n"/>
      <c r="Q2" s="432" t="n"/>
      <c r="R2" s="432" t="n"/>
      <c r="S2" s="407" t="n"/>
      <c r="T2" s="698" t="inlineStr">
        <is>
          <t>KT kết thúc MĐ1</t>
        </is>
      </c>
      <c r="U2" s="432" t="n"/>
      <c r="V2" s="407" t="n"/>
      <c r="W2" s="698" t="inlineStr">
        <is>
          <t>Tổng kết
MĐ1</t>
        </is>
      </c>
      <c r="X2" s="692" t="inlineStr">
        <is>
          <t>Tín chỉ 2.1</t>
        </is>
      </c>
      <c r="Y2" s="432" t="n"/>
      <c r="Z2" s="432" t="n"/>
      <c r="AA2" s="432" t="n"/>
      <c r="AB2" s="432" t="n"/>
      <c r="AC2" s="432" t="n"/>
      <c r="AD2" s="407" t="n"/>
      <c r="AE2" s="692" t="inlineStr">
        <is>
          <t>Tín chỉ 2.2</t>
        </is>
      </c>
      <c r="AF2" s="432" t="n"/>
      <c r="AG2" s="432" t="n"/>
      <c r="AH2" s="432" t="n"/>
      <c r="AI2" s="432" t="n"/>
      <c r="AJ2" s="432" t="n"/>
      <c r="AK2" s="407" t="n"/>
      <c r="AL2" s="699" t="inlineStr">
        <is>
          <t>KT kết thúc MĐ2</t>
        </is>
      </c>
      <c r="AM2" s="432" t="n"/>
      <c r="AN2" s="407" t="n"/>
      <c r="AO2" s="699" t="inlineStr">
        <is>
          <t>Tổng kết
MĐ2</t>
        </is>
      </c>
      <c r="AP2" s="693" t="inlineStr">
        <is>
          <t>Tín chỉ 3.1</t>
        </is>
      </c>
      <c r="AQ2" s="432" t="n"/>
      <c r="AR2" s="432" t="n"/>
      <c r="AS2" s="432" t="n"/>
      <c r="AT2" s="432" t="n"/>
      <c r="AU2" s="432" t="n"/>
      <c r="AV2" s="407" t="n"/>
      <c r="AW2" s="693" t="inlineStr">
        <is>
          <t>Tín chỉ 3.2</t>
        </is>
      </c>
      <c r="AX2" s="432" t="n"/>
      <c r="AY2" s="432" t="n"/>
      <c r="AZ2" s="432" t="n"/>
      <c r="BA2" s="432" t="n"/>
      <c r="BB2" s="432" t="n"/>
      <c r="BC2" s="407" t="n"/>
      <c r="BD2" s="700" t="inlineStr">
        <is>
          <t>KT kết thúc MĐ3</t>
        </is>
      </c>
      <c r="BE2" s="432" t="n"/>
      <c r="BF2" s="407" t="n"/>
      <c r="BG2" s="700" t="inlineStr">
        <is>
          <t>Tổng kết
MĐ3</t>
        </is>
      </c>
      <c r="BH2" s="421" t="n"/>
      <c r="BI2" s="421" t="n"/>
      <c r="BJ2" s="697" t="n"/>
    </row>
    <row r="3" ht="30" customFormat="1" customHeight="1" s="687">
      <c r="A3" s="696" t="n"/>
      <c r="B3" s="422" t="n"/>
      <c r="C3" s="570" t="n"/>
      <c r="D3" s="571" t="n"/>
      <c r="E3" s="422" t="n"/>
      <c r="F3" s="691" t="inlineStr">
        <is>
          <t>TX1</t>
        </is>
      </c>
      <c r="G3" s="691" t="inlineStr">
        <is>
          <t>TX2</t>
        </is>
      </c>
      <c r="H3" s="691" t="inlineStr">
        <is>
          <t>ĐK1</t>
        </is>
      </c>
      <c r="I3" s="691" t="inlineStr">
        <is>
          <t>ĐK2</t>
        </is>
      </c>
      <c r="J3" s="691" t="inlineStr">
        <is>
          <t>TB.KT</t>
        </is>
      </c>
      <c r="K3" s="698" t="inlineStr">
        <is>
          <t>Kết thúc
tín chỉ 1.1</t>
        </is>
      </c>
      <c r="L3" s="698" t="inlineStr">
        <is>
          <t>Trung bình
tín chỉ 1.1</t>
        </is>
      </c>
      <c r="M3" s="691" t="inlineStr">
        <is>
          <t>TX1</t>
        </is>
      </c>
      <c r="N3" s="691" t="inlineStr">
        <is>
          <t>TX2</t>
        </is>
      </c>
      <c r="O3" s="691" t="inlineStr">
        <is>
          <t>ĐK1</t>
        </is>
      </c>
      <c r="P3" s="691" t="inlineStr">
        <is>
          <t>ĐK2</t>
        </is>
      </c>
      <c r="Q3" s="691" t="inlineStr">
        <is>
          <t>TB.KT</t>
        </is>
      </c>
      <c r="R3" s="698" t="inlineStr">
        <is>
          <t>Kết thúc
tín chỉ 1.2</t>
        </is>
      </c>
      <c r="S3" s="698" t="inlineStr">
        <is>
          <t>Trung bình
tín chỉ 1.2</t>
        </is>
      </c>
      <c r="T3" s="691" t="inlineStr">
        <is>
          <t>CB1</t>
        </is>
      </c>
      <c r="U3" s="691" t="inlineStr">
        <is>
          <t>CB2</t>
        </is>
      </c>
      <c r="V3" s="691" t="inlineStr">
        <is>
          <t>Tr.bình</t>
        </is>
      </c>
      <c r="W3" s="422" t="n"/>
      <c r="X3" s="692" t="inlineStr">
        <is>
          <t>TX1</t>
        </is>
      </c>
      <c r="Y3" s="692" t="inlineStr">
        <is>
          <t>TX2</t>
        </is>
      </c>
      <c r="Z3" s="692" t="inlineStr">
        <is>
          <t>ĐK1</t>
        </is>
      </c>
      <c r="AA3" s="692" t="inlineStr">
        <is>
          <t>ĐK2</t>
        </is>
      </c>
      <c r="AB3" s="692" t="inlineStr">
        <is>
          <t>TB.KT</t>
        </is>
      </c>
      <c r="AC3" s="699" t="inlineStr">
        <is>
          <t>Kết thúc
tín chỉ 2.1</t>
        </is>
      </c>
      <c r="AD3" s="699" t="inlineStr">
        <is>
          <t>Trung bình
tín chỉ 2.1</t>
        </is>
      </c>
      <c r="AE3" s="692" t="inlineStr">
        <is>
          <t>TX1</t>
        </is>
      </c>
      <c r="AF3" s="692" t="inlineStr">
        <is>
          <t>TX2</t>
        </is>
      </c>
      <c r="AG3" s="692" t="inlineStr">
        <is>
          <t>ĐK1</t>
        </is>
      </c>
      <c r="AH3" s="692" t="inlineStr">
        <is>
          <t>ĐK2</t>
        </is>
      </c>
      <c r="AI3" s="692" t="inlineStr">
        <is>
          <t>TB.KT</t>
        </is>
      </c>
      <c r="AJ3" s="699" t="inlineStr">
        <is>
          <t>Kết thúc
tín chỉ 2.2</t>
        </is>
      </c>
      <c r="AK3" s="699" t="inlineStr">
        <is>
          <t>Trung bình
tín chỉ 2.2</t>
        </is>
      </c>
      <c r="AL3" s="692" t="inlineStr">
        <is>
          <t>CB1</t>
        </is>
      </c>
      <c r="AM3" s="692" t="inlineStr">
        <is>
          <t>CB2</t>
        </is>
      </c>
      <c r="AN3" s="692" t="inlineStr">
        <is>
          <t>Tr.bình</t>
        </is>
      </c>
      <c r="AO3" s="422" t="n"/>
      <c r="AP3" s="693" t="inlineStr">
        <is>
          <t>TX1</t>
        </is>
      </c>
      <c r="AQ3" s="693" t="inlineStr">
        <is>
          <t>TX2</t>
        </is>
      </c>
      <c r="AR3" s="693" t="inlineStr">
        <is>
          <t>ĐK1</t>
        </is>
      </c>
      <c r="AS3" s="693" t="inlineStr">
        <is>
          <t>ĐK2</t>
        </is>
      </c>
      <c r="AT3" s="693" t="inlineStr">
        <is>
          <t>TB.KT</t>
        </is>
      </c>
      <c r="AU3" s="700" t="inlineStr">
        <is>
          <t>Kết thúc
tín chỉ 3.1</t>
        </is>
      </c>
      <c r="AV3" s="700" t="inlineStr">
        <is>
          <t>Trung bình
tín chỉ 3.1</t>
        </is>
      </c>
      <c r="AW3" s="693" t="inlineStr">
        <is>
          <t>TX1</t>
        </is>
      </c>
      <c r="AX3" s="693" t="inlineStr">
        <is>
          <t>TX2</t>
        </is>
      </c>
      <c r="AY3" s="693" t="inlineStr">
        <is>
          <t>ĐK1</t>
        </is>
      </c>
      <c r="AZ3" s="693" t="inlineStr">
        <is>
          <t>ĐK2</t>
        </is>
      </c>
      <c r="BA3" s="693" t="inlineStr">
        <is>
          <t>TB.KT</t>
        </is>
      </c>
      <c r="BB3" s="700" t="inlineStr">
        <is>
          <t>Kết thúc
tín chỉ 3.2</t>
        </is>
      </c>
      <c r="BC3" s="700" t="inlineStr">
        <is>
          <t>Trung bình
tín chỉ 3.2</t>
        </is>
      </c>
      <c r="BD3" s="693" t="inlineStr">
        <is>
          <t>CB1</t>
        </is>
      </c>
      <c r="BE3" s="693" t="inlineStr">
        <is>
          <t>CB2</t>
        </is>
      </c>
      <c r="BF3" s="693" t="inlineStr">
        <is>
          <t>Tr.bình</t>
        </is>
      </c>
      <c r="BG3" s="422" t="n"/>
      <c r="BH3" s="422" t="n"/>
      <c r="BI3" s="422" t="n"/>
      <c r="BJ3" s="697" t="n"/>
    </row>
    <row r="4" ht="16.5" customHeight="1" s="393">
      <c r="A4" s="610">
        <f>IF('Thông tin HV'!A4="","",'Thông tin HV'!A4)</f>
        <v/>
      </c>
      <c r="B4" s="611">
        <f>IF('Thông tin HV'!B4="","",'Thông tin HV'!B4)</f>
        <v/>
      </c>
      <c r="C4" s="476">
        <f>IF('Thông tin HV'!C4="","",'Thông tin HV'!C4)</f>
        <v/>
      </c>
      <c r="D4" s="476" t="n"/>
      <c r="E4" s="480" t="n">
        <v>1997</v>
      </c>
      <c r="F4" s="701" t="n">
        <v>6</v>
      </c>
      <c r="G4" s="701" t="n"/>
      <c r="H4" s="701" t="n">
        <v>7</v>
      </c>
      <c r="I4" s="701" t="n"/>
      <c r="J4" s="702">
        <f>ROUND((AVERAGE(F4:G4)*2+AVERAGE(H4:I4))/3,1)</f>
        <v/>
      </c>
      <c r="K4" s="701" t="n">
        <v>8</v>
      </c>
      <c r="L4" s="702">
        <f>ROUND((J4*2+K4*3)/5,1)</f>
        <v/>
      </c>
      <c r="M4" s="701" t="n"/>
      <c r="N4" s="701" t="n"/>
      <c r="O4" s="701" t="n"/>
      <c r="P4" s="701" t="n"/>
      <c r="Q4" s="702">
        <f>IFERROR(ROUND((AVERAGE(M4:N4)*2+AVERAGE(O4:P4))/3,1),"")</f>
        <v/>
      </c>
      <c r="R4" s="701" t="n"/>
      <c r="S4" s="702">
        <f>IFERROR(ROUND((Q4*2+R4*3)/5,1),"")</f>
        <v/>
      </c>
      <c r="T4" s="703" t="n">
        <v>6</v>
      </c>
      <c r="U4" s="703" t="n">
        <v>7</v>
      </c>
      <c r="V4" s="702">
        <f>ROUND(AVERAGE(T4:U4),1)</f>
        <v/>
      </c>
      <c r="W4" s="702">
        <f>ROUND((AVERAGE(L4,S4)+V4*2)/3,1)</f>
        <v/>
      </c>
      <c r="X4" s="701" t="n">
        <v>6</v>
      </c>
      <c r="Y4" s="701" t="n"/>
      <c r="Z4" s="701" t="n">
        <v>7</v>
      </c>
      <c r="AA4" s="701" t="n"/>
      <c r="AB4" s="702">
        <f>ROUND((AVERAGE(X4:Y4)*2+AVERAGE(Z4:AA4))/3,1)</f>
        <v/>
      </c>
      <c r="AC4" s="701" t="n">
        <v>8</v>
      </c>
      <c r="AD4" s="702">
        <f>ROUND((AB4*2+AC4*3)/5,1)</f>
        <v/>
      </c>
      <c r="AE4" s="701" t="n"/>
      <c r="AF4" s="701" t="n"/>
      <c r="AG4" s="701" t="n"/>
      <c r="AH4" s="701" t="n"/>
      <c r="AI4" s="702">
        <f>IFERROR(ROUND((AVERAGE(AE4:AF4)*2+AVERAGE(AG4:AH4))/3,1),"")</f>
        <v/>
      </c>
      <c r="AJ4" s="701" t="n"/>
      <c r="AK4" s="702">
        <f>IFERROR(ROUND((AI4*2+AJ4*3)/5,1),"")</f>
        <v/>
      </c>
      <c r="AL4" s="703" t="n">
        <v>6</v>
      </c>
      <c r="AM4" s="703" t="n">
        <v>7</v>
      </c>
      <c r="AN4" s="702">
        <f>ROUND(AVERAGE(AL4:AM4),1)</f>
        <v/>
      </c>
      <c r="AO4" s="702">
        <f>ROUND((AVERAGE(AD4,AK4)+AN4*2)/3,1)</f>
        <v/>
      </c>
      <c r="AP4" s="701" t="n">
        <v>6</v>
      </c>
      <c r="AQ4" s="701" t="n"/>
      <c r="AR4" s="701" t="n">
        <v>7</v>
      </c>
      <c r="AS4" s="701" t="n"/>
      <c r="AT4" s="702">
        <f>ROUND((AVERAGE(AP4:AQ4)*2+AVERAGE(AR4:AS4))/3,1)</f>
        <v/>
      </c>
      <c r="AU4" s="701" t="n">
        <v>8</v>
      </c>
      <c r="AV4" s="702">
        <f>ROUND((AT4*2+AU4*3)/5,1)</f>
        <v/>
      </c>
      <c r="AW4" s="701" t="n"/>
      <c r="AX4" s="701" t="n"/>
      <c r="AY4" s="701" t="n"/>
      <c r="AZ4" s="701" t="n"/>
      <c r="BA4" s="702">
        <f>IFERROR(ROUND((AVERAGE(AW4:AX4)*2+AVERAGE(AY4:AZ4))/3,1),"")</f>
        <v/>
      </c>
      <c r="BB4" s="701" t="n"/>
      <c r="BC4" s="702">
        <f>IFERROR(ROUND((BA4*2+BB4*3)/5,1),"")</f>
        <v/>
      </c>
      <c r="BD4" s="703" t="n">
        <v>6</v>
      </c>
      <c r="BE4" s="703" t="n">
        <v>7</v>
      </c>
      <c r="BF4" s="702">
        <f>ROUND(AVERAGE(BD4:BE4),1)</f>
        <v/>
      </c>
      <c r="BG4" s="702">
        <f>ROUND((AVERAGE(AV4,BC4)+BF4*2)/3,1)</f>
        <v/>
      </c>
      <c r="BH4" s="704">
        <f>IFERROR(ROUND(AVERAGE(BG4,AO4,W4),1),"")</f>
        <v/>
      </c>
      <c r="BI4" s="704">
        <f>IF(BH4&gt;=9,"Xuất sắc",IF(BH4&gt;=8,"Giỏi",IF(BH4&gt;=7,"Khá",IF(BH4&gt;=6,"Trung bình - Khá",IF(BH4&gt;=5,"Trung bình","Không đạt")))))</f>
        <v/>
      </c>
      <c r="BJ4" s="684">
        <f>IF(AND(ISNUMBER(BH4), BH4&gt;=5), "x", "")</f>
        <v/>
      </c>
    </row>
    <row r="5" ht="15.4" customHeight="1" s="393">
      <c r="A5" s="610">
        <f>IF('Thông tin HV'!A5="","",'Thông tin HV'!A5)</f>
        <v/>
      </c>
      <c r="B5" s="611">
        <f>IF('Thông tin HV'!B5="","",'Thông tin HV'!B5)</f>
        <v/>
      </c>
      <c r="C5" s="612">
        <f>IF('Thông tin HV'!C5="","",'Thông tin HV'!C5)</f>
        <v/>
      </c>
      <c r="D5" s="612" t="n"/>
      <c r="E5" s="612" t="n"/>
      <c r="F5" s="701" t="n">
        <v>6</v>
      </c>
      <c r="G5" s="701" t="n"/>
      <c r="H5" s="701" t="n">
        <v>7</v>
      </c>
      <c r="I5" s="701" t="n"/>
      <c r="J5" s="702">
        <f>ROUND((AVERAGE(F5:G5)*2+AVERAGE(H5:I5))/3,1)</f>
        <v/>
      </c>
      <c r="K5" s="701" t="n">
        <v>8</v>
      </c>
      <c r="L5" s="702">
        <f>ROUND((J5*2+K5*3)/5,1)</f>
        <v/>
      </c>
      <c r="M5" s="701" t="n"/>
      <c r="N5" s="701" t="n"/>
      <c r="O5" s="701" t="n"/>
      <c r="P5" s="701" t="n"/>
      <c r="Q5" s="702">
        <f>IFERROR(ROUND((AVERAGE(M5:N5)*2+AVERAGE(O5:P5))/3,1),"")</f>
        <v/>
      </c>
      <c r="R5" s="701" t="n"/>
      <c r="S5" s="702">
        <f>IFERROR(ROUND((Q5*2+R5*3)/5,1),"")</f>
        <v/>
      </c>
      <c r="T5" s="703" t="n">
        <v>7</v>
      </c>
      <c r="U5" s="703" t="n">
        <v>6</v>
      </c>
      <c r="V5" s="702">
        <f>ROUND(AVERAGE(T5:U5),1)</f>
        <v/>
      </c>
      <c r="W5" s="702">
        <f>ROUND((AVERAGE(L5,S5)+V5*2)/3,1)</f>
        <v/>
      </c>
      <c r="X5" s="701" t="n">
        <v>6</v>
      </c>
      <c r="Y5" s="701" t="n"/>
      <c r="Z5" s="701" t="n">
        <v>7</v>
      </c>
      <c r="AA5" s="701" t="n"/>
      <c r="AB5" s="702">
        <f>ROUND((AVERAGE(X5:Y5)*2+AVERAGE(Z5:AA5))/3,1)</f>
        <v/>
      </c>
      <c r="AC5" s="701" t="n">
        <v>8</v>
      </c>
      <c r="AD5" s="702">
        <f>ROUND((AB5*2+AC5*3)/5,1)</f>
        <v/>
      </c>
      <c r="AE5" s="701" t="n"/>
      <c r="AF5" s="701" t="n"/>
      <c r="AG5" s="701" t="n"/>
      <c r="AH5" s="701" t="n"/>
      <c r="AI5" s="702">
        <f>IFERROR(ROUND((AVERAGE(AE5:AF5)*2+AVERAGE(AG5:AH5))/3,1),"")</f>
        <v/>
      </c>
      <c r="AJ5" s="701" t="n"/>
      <c r="AK5" s="702">
        <f>IFERROR(ROUND((AI5*2+AJ5*3)/5,1),"")</f>
        <v/>
      </c>
      <c r="AL5" s="703" t="n">
        <v>7</v>
      </c>
      <c r="AM5" s="703" t="n">
        <v>6</v>
      </c>
      <c r="AN5" s="702">
        <f>ROUND(AVERAGE(AL5:AM5),1)</f>
        <v/>
      </c>
      <c r="AO5" s="702">
        <f>ROUND((AVERAGE(AD5,AK5)+AN5*2)/3,1)</f>
        <v/>
      </c>
      <c r="AP5" s="701" t="n">
        <v>6</v>
      </c>
      <c r="AQ5" s="701" t="n"/>
      <c r="AR5" s="701" t="n">
        <v>7</v>
      </c>
      <c r="AS5" s="701" t="n"/>
      <c r="AT5" s="702">
        <f>ROUND((AVERAGE(AP5:AQ5)*2+AVERAGE(AR5:AS5))/3,1)</f>
        <v/>
      </c>
      <c r="AU5" s="701" t="n">
        <v>8</v>
      </c>
      <c r="AV5" s="702">
        <f>ROUND((AT5*2+AU5*3)/5,1)</f>
        <v/>
      </c>
      <c r="AW5" s="701" t="n"/>
      <c r="AX5" s="701" t="n"/>
      <c r="AY5" s="701" t="n"/>
      <c r="AZ5" s="701" t="n"/>
      <c r="BA5" s="702">
        <f>IFERROR(ROUND((AVERAGE(AW5:AX5)*2+AVERAGE(AY5:AZ5))/3,1),"")</f>
        <v/>
      </c>
      <c r="BB5" s="701" t="n"/>
      <c r="BC5" s="702">
        <f>IFERROR(ROUND((BA5*2+BB5*3)/5,1),"")</f>
        <v/>
      </c>
      <c r="BD5" s="703" t="n">
        <v>7</v>
      </c>
      <c r="BE5" s="703" t="n">
        <v>6</v>
      </c>
      <c r="BF5" s="702">
        <f>ROUND(AVERAGE(BD5:BE5),1)</f>
        <v/>
      </c>
      <c r="BG5" s="702">
        <f>ROUND((AVERAGE(AV5,BC5)+BF5*2)/3,1)</f>
        <v/>
      </c>
      <c r="BH5" s="704">
        <f>IFERROR(ROUND(AVERAGE(BG5,AO5,W5),1),"")</f>
        <v/>
      </c>
      <c r="BI5" s="704">
        <f>IF(BH5&gt;=9,"Xuất sắc",IF(BH5&gt;=8,"Giỏi",IF(BH5&gt;=7,"Khá",IF(BH5&gt;=6,"Trung bình - Khá",IF(BH5&gt;=5,"Trung bình","Không đạt")))))</f>
        <v/>
      </c>
      <c r="BJ5" s="684">
        <f>IF(AND(ISNUMBER(BH5), BH5&gt;=5), "x", "")</f>
        <v/>
      </c>
    </row>
    <row r="6" ht="15.4" customHeight="1" s="393">
      <c r="A6" s="610">
        <f>IF('Thông tin HV'!A6="","",'Thông tin HV'!A6)</f>
        <v/>
      </c>
      <c r="B6" s="611">
        <f>IF('Thông tin HV'!B6="","",'Thông tin HV'!B6)</f>
        <v/>
      </c>
      <c r="C6" s="612">
        <f>IF('Thông tin HV'!C6="","",'Thông tin HV'!C6)</f>
        <v/>
      </c>
      <c r="D6" s="612" t="n"/>
      <c r="E6" s="612" t="n"/>
      <c r="F6" s="701" t="n">
        <v>6</v>
      </c>
      <c r="G6" s="701" t="n"/>
      <c r="H6" s="701" t="n">
        <v>6</v>
      </c>
      <c r="I6" s="701" t="n"/>
      <c r="J6" s="702">
        <f>ROUND((AVERAGE(F6:G6)*2+AVERAGE(H6:I6))/3,1)</f>
        <v/>
      </c>
      <c r="K6" s="701" t="n">
        <v>8</v>
      </c>
      <c r="L6" s="702">
        <f>ROUND((J6*2+K6*3)/5,1)</f>
        <v/>
      </c>
      <c r="M6" s="701" t="n"/>
      <c r="N6" s="701" t="n"/>
      <c r="O6" s="701" t="n"/>
      <c r="P6" s="701" t="n"/>
      <c r="Q6" s="702">
        <f>IFERROR(ROUND((AVERAGE(M6:N6)*2+AVERAGE(O6:P6))/3,1),"")</f>
        <v/>
      </c>
      <c r="R6" s="701" t="n"/>
      <c r="S6" s="702">
        <f>IFERROR(ROUND((Q6*2+R6*3)/5,1),"")</f>
        <v/>
      </c>
      <c r="T6" s="703" t="n">
        <v>7</v>
      </c>
      <c r="U6" s="703" t="n">
        <v>7</v>
      </c>
      <c r="V6" s="702">
        <f>ROUND(AVERAGE(T6:U6),1)</f>
        <v/>
      </c>
      <c r="W6" s="702">
        <f>ROUND((AVERAGE(L6,S6)+V6*2)/3,1)</f>
        <v/>
      </c>
      <c r="X6" s="701" t="n">
        <v>6</v>
      </c>
      <c r="Y6" s="701" t="n"/>
      <c r="Z6" s="701" t="n">
        <v>6</v>
      </c>
      <c r="AA6" s="701" t="n"/>
      <c r="AB6" s="702">
        <f>ROUND((AVERAGE(X6:Y6)*2+AVERAGE(Z6:AA6))/3,1)</f>
        <v/>
      </c>
      <c r="AC6" s="701" t="n">
        <v>8</v>
      </c>
      <c r="AD6" s="702">
        <f>ROUND((AB6*2+AC6*3)/5,1)</f>
        <v/>
      </c>
      <c r="AE6" s="701" t="n"/>
      <c r="AF6" s="701" t="n"/>
      <c r="AG6" s="701" t="n"/>
      <c r="AH6" s="701" t="n"/>
      <c r="AI6" s="702">
        <f>IFERROR(ROUND((AVERAGE(AE6:AF6)*2+AVERAGE(AG6:AH6))/3,1),"")</f>
        <v/>
      </c>
      <c r="AJ6" s="701" t="n"/>
      <c r="AK6" s="702">
        <f>IFERROR(ROUND((AI6*2+AJ6*3)/5,1),"")</f>
        <v/>
      </c>
      <c r="AL6" s="703" t="n">
        <v>7</v>
      </c>
      <c r="AM6" s="703" t="n">
        <v>7</v>
      </c>
      <c r="AN6" s="702">
        <f>ROUND(AVERAGE(AL6:AM6),1)</f>
        <v/>
      </c>
      <c r="AO6" s="702">
        <f>ROUND((AVERAGE(AD6,AK6)+AN6*2)/3,1)</f>
        <v/>
      </c>
      <c r="AP6" s="701" t="n">
        <v>6</v>
      </c>
      <c r="AQ6" s="701" t="n"/>
      <c r="AR6" s="701" t="n">
        <v>6</v>
      </c>
      <c r="AS6" s="701" t="n"/>
      <c r="AT6" s="702">
        <f>ROUND((AVERAGE(AP6:AQ6)*2+AVERAGE(AR6:AS6))/3,1)</f>
        <v/>
      </c>
      <c r="AU6" s="701" t="n">
        <v>8</v>
      </c>
      <c r="AV6" s="702">
        <f>ROUND((AT6*2+AU6*3)/5,1)</f>
        <v/>
      </c>
      <c r="AW6" s="701" t="n"/>
      <c r="AX6" s="701" t="n"/>
      <c r="AY6" s="701" t="n"/>
      <c r="AZ6" s="701" t="n"/>
      <c r="BA6" s="702">
        <f>IFERROR(ROUND((AVERAGE(AW6:AX6)*2+AVERAGE(AY6:AZ6))/3,1),"")</f>
        <v/>
      </c>
      <c r="BB6" s="701" t="n"/>
      <c r="BC6" s="702">
        <f>IFERROR(ROUND((BA6*2+BB6*3)/5,1),"")</f>
        <v/>
      </c>
      <c r="BD6" s="703" t="n">
        <v>7</v>
      </c>
      <c r="BE6" s="703" t="n">
        <v>7</v>
      </c>
      <c r="BF6" s="702">
        <f>ROUND(AVERAGE(BD6:BE6),1)</f>
        <v/>
      </c>
      <c r="BG6" s="702">
        <f>ROUND((AVERAGE(AV6,BC6)+BF6*2)/3,1)</f>
        <v/>
      </c>
      <c r="BH6" s="704">
        <f>IFERROR(ROUND(AVERAGE(BG6,AO6,W6),1),"")</f>
        <v/>
      </c>
      <c r="BI6" s="704">
        <f>IF(BH6&gt;=9,"Xuất sắc",IF(BH6&gt;=8,"Giỏi",IF(BH6&gt;=7,"Khá",IF(BH6&gt;=6,"Trung bình - Khá",IF(BH6&gt;=5,"Trung bình","Không đạt")))))</f>
        <v/>
      </c>
      <c r="BJ6" s="684">
        <f>IF(AND(ISNUMBER(BH6), BH6&gt;=5), "x", "")</f>
        <v/>
      </c>
    </row>
    <row r="7" ht="15.4" customHeight="1" s="393">
      <c r="A7" s="610">
        <f>IF('Thông tin HV'!A7="","",'Thông tin HV'!A7)</f>
        <v/>
      </c>
      <c r="B7" s="611">
        <f>IF('Thông tin HV'!B7="","",'Thông tin HV'!B7)</f>
        <v/>
      </c>
      <c r="C7" s="612">
        <f>IF('Thông tin HV'!C7="","",'Thông tin HV'!C7)</f>
        <v/>
      </c>
      <c r="D7" s="612" t="n"/>
      <c r="E7" s="612" t="n"/>
      <c r="F7" s="701" t="n">
        <v>7</v>
      </c>
      <c r="G7" s="701" t="n"/>
      <c r="H7" s="701" t="n">
        <v>6</v>
      </c>
      <c r="I7" s="701" t="n"/>
      <c r="J7" s="702">
        <f>ROUND((AVERAGE(F7:G7)*2+AVERAGE(H7:I7))/3,1)</f>
        <v/>
      </c>
      <c r="K7" s="701" t="n">
        <v>9</v>
      </c>
      <c r="L7" s="702">
        <f>ROUND((J7*2+K7*3)/5,1)</f>
        <v/>
      </c>
      <c r="M7" s="701" t="n"/>
      <c r="N7" s="701" t="n"/>
      <c r="O7" s="701" t="n"/>
      <c r="P7" s="701" t="n"/>
      <c r="Q7" s="702">
        <f>IFERROR(ROUND((AVERAGE(M7:N7)*2+AVERAGE(O7:P7))/3,1),"")</f>
        <v/>
      </c>
      <c r="R7" s="701" t="n"/>
      <c r="S7" s="702">
        <f>IFERROR(ROUND((Q7*2+R7*3)/5,1),"")</f>
        <v/>
      </c>
      <c r="T7" s="703" t="n">
        <v>6</v>
      </c>
      <c r="U7" s="703" t="n">
        <v>6</v>
      </c>
      <c r="V7" s="702">
        <f>ROUND(AVERAGE(T7:U7),1)</f>
        <v/>
      </c>
      <c r="W7" s="702">
        <f>ROUND((AVERAGE(L7,S7)+V7*2)/3,1)</f>
        <v/>
      </c>
      <c r="X7" s="701" t="n">
        <v>7</v>
      </c>
      <c r="Y7" s="701" t="n"/>
      <c r="Z7" s="701" t="n">
        <v>6</v>
      </c>
      <c r="AA7" s="701" t="n"/>
      <c r="AB7" s="702">
        <f>ROUND((AVERAGE(X7:Y7)*2+AVERAGE(Z7:AA7))/3,1)</f>
        <v/>
      </c>
      <c r="AC7" s="701" t="n">
        <v>9</v>
      </c>
      <c r="AD7" s="702">
        <f>ROUND((AB7*2+AC7*3)/5,1)</f>
        <v/>
      </c>
      <c r="AE7" s="701" t="n"/>
      <c r="AF7" s="701" t="n"/>
      <c r="AG7" s="701" t="n"/>
      <c r="AH7" s="701" t="n"/>
      <c r="AI7" s="702">
        <f>IFERROR(ROUND((AVERAGE(AE7:AF7)*2+AVERAGE(AG7:AH7))/3,1),"")</f>
        <v/>
      </c>
      <c r="AJ7" s="701" t="n"/>
      <c r="AK7" s="702">
        <f>IFERROR(ROUND((AI7*2+AJ7*3)/5,1),"")</f>
        <v/>
      </c>
      <c r="AL7" s="703" t="n">
        <v>6</v>
      </c>
      <c r="AM7" s="703" t="n">
        <v>6</v>
      </c>
      <c r="AN7" s="702">
        <f>ROUND(AVERAGE(AL7:AM7),1)</f>
        <v/>
      </c>
      <c r="AO7" s="702">
        <f>ROUND((AVERAGE(AD7,AK7)+AN7*2)/3,1)</f>
        <v/>
      </c>
      <c r="AP7" s="701" t="n">
        <v>7</v>
      </c>
      <c r="AQ7" s="701" t="n"/>
      <c r="AR7" s="701" t="n">
        <v>6</v>
      </c>
      <c r="AS7" s="701" t="n"/>
      <c r="AT7" s="702">
        <f>ROUND((AVERAGE(AP7:AQ7)*2+AVERAGE(AR7:AS7))/3,1)</f>
        <v/>
      </c>
      <c r="AU7" s="701" t="n">
        <v>9</v>
      </c>
      <c r="AV7" s="702">
        <f>ROUND((AT7*2+AU7*3)/5,1)</f>
        <v/>
      </c>
      <c r="AW7" s="701" t="n"/>
      <c r="AX7" s="701" t="n"/>
      <c r="AY7" s="701" t="n"/>
      <c r="AZ7" s="701" t="n"/>
      <c r="BA7" s="702">
        <f>IFERROR(ROUND((AVERAGE(AW7:AX7)*2+AVERAGE(AY7:AZ7))/3,1),"")</f>
        <v/>
      </c>
      <c r="BB7" s="701" t="n"/>
      <c r="BC7" s="702">
        <f>IFERROR(ROUND((BA7*2+BB7*3)/5,1),"")</f>
        <v/>
      </c>
      <c r="BD7" s="703" t="n">
        <v>6</v>
      </c>
      <c r="BE7" s="703" t="n">
        <v>6</v>
      </c>
      <c r="BF7" s="702">
        <f>ROUND(AVERAGE(BD7:BE7),1)</f>
        <v/>
      </c>
      <c r="BG7" s="702">
        <f>ROUND((AVERAGE(AV7,BC7)+BF7*2)/3,1)</f>
        <v/>
      </c>
      <c r="BH7" s="704">
        <f>IFERROR(ROUND(AVERAGE(BG7,AO7,W7),1),"")</f>
        <v/>
      </c>
      <c r="BI7" s="704">
        <f>IF(BH7&gt;=9,"Xuất sắc",IF(BH7&gt;=8,"Giỏi",IF(BH7&gt;=7,"Khá",IF(BH7&gt;=6,"Trung bình - Khá",IF(BH7&gt;=5,"Trung bình","Không đạt")))))</f>
        <v/>
      </c>
      <c r="BJ7" s="684">
        <f>IF(AND(ISNUMBER(BH7), BH7&gt;=5), "x", "")</f>
        <v/>
      </c>
    </row>
    <row r="8" ht="15.4" customHeight="1" s="393">
      <c r="A8" s="610">
        <f>IF('Thông tin HV'!A8="","",'Thông tin HV'!A8)</f>
        <v/>
      </c>
      <c r="B8" s="611">
        <f>IF('Thông tin HV'!B8="","",'Thông tin HV'!B8)</f>
        <v/>
      </c>
      <c r="C8" s="612">
        <f>IF('Thông tin HV'!C8="","",'Thông tin HV'!C8)</f>
        <v/>
      </c>
      <c r="D8" s="612" t="n"/>
      <c r="E8" s="612" t="n"/>
      <c r="F8" s="701" t="n">
        <v>8</v>
      </c>
      <c r="G8" s="701" t="n"/>
      <c r="H8" s="701" t="n">
        <v>7</v>
      </c>
      <c r="I8" s="701" t="n"/>
      <c r="J8" s="702">
        <f>ROUND((AVERAGE(F8:G8)*2+AVERAGE(H8:I8))/3,1)</f>
        <v/>
      </c>
      <c r="K8" s="701" t="n">
        <v>7</v>
      </c>
      <c r="L8" s="702">
        <f>ROUND((J8*2+K8*3)/5,1)</f>
        <v/>
      </c>
      <c r="M8" s="701" t="n"/>
      <c r="N8" s="701" t="n"/>
      <c r="O8" s="701" t="n"/>
      <c r="P8" s="701" t="n"/>
      <c r="Q8" s="702">
        <f>IFERROR(ROUND((AVERAGE(M8:N8)*2+AVERAGE(O8:P8))/3,1),"")</f>
        <v/>
      </c>
      <c r="R8" s="701" t="n"/>
      <c r="S8" s="702">
        <f>IFERROR(ROUND((Q8*2+R8*3)/5,1),"")</f>
        <v/>
      </c>
      <c r="T8" s="703" t="n">
        <v>9</v>
      </c>
      <c r="U8" s="703" t="n">
        <v>9</v>
      </c>
      <c r="V8" s="702">
        <f>ROUND(AVERAGE(T8:U8),1)</f>
        <v/>
      </c>
      <c r="W8" s="702">
        <f>ROUND((AVERAGE(L8,S8)+V8*2)/3,1)</f>
        <v/>
      </c>
      <c r="X8" s="701" t="n">
        <v>8</v>
      </c>
      <c r="Y8" s="701" t="n"/>
      <c r="Z8" s="701" t="n">
        <v>7</v>
      </c>
      <c r="AA8" s="701" t="n"/>
      <c r="AB8" s="702">
        <f>ROUND((AVERAGE(X8:Y8)*2+AVERAGE(Z8:AA8))/3,1)</f>
        <v/>
      </c>
      <c r="AC8" s="701" t="n">
        <v>7</v>
      </c>
      <c r="AD8" s="702">
        <f>ROUND((AB8*2+AC8*3)/5,1)</f>
        <v/>
      </c>
      <c r="AE8" s="701" t="n"/>
      <c r="AF8" s="701" t="n"/>
      <c r="AG8" s="701" t="n"/>
      <c r="AH8" s="701" t="n"/>
      <c r="AI8" s="702">
        <f>IFERROR(ROUND((AVERAGE(AE8:AF8)*2+AVERAGE(AG8:AH8))/3,1),"")</f>
        <v/>
      </c>
      <c r="AJ8" s="701" t="n"/>
      <c r="AK8" s="702">
        <f>IFERROR(ROUND((AI8*2+AJ8*3)/5,1),"")</f>
        <v/>
      </c>
      <c r="AL8" s="703" t="n">
        <v>9</v>
      </c>
      <c r="AM8" s="703" t="n">
        <v>9</v>
      </c>
      <c r="AN8" s="702">
        <f>ROUND(AVERAGE(AL8:AM8),1)</f>
        <v/>
      </c>
      <c r="AO8" s="702">
        <f>ROUND((AVERAGE(AD8,AK8)+AN8*2)/3,1)</f>
        <v/>
      </c>
      <c r="AP8" s="701" t="n">
        <v>8</v>
      </c>
      <c r="AQ8" s="701" t="n"/>
      <c r="AR8" s="701" t="n">
        <v>7</v>
      </c>
      <c r="AS8" s="701" t="n"/>
      <c r="AT8" s="702">
        <f>ROUND((AVERAGE(AP8:AQ8)*2+AVERAGE(AR8:AS8))/3,1)</f>
        <v/>
      </c>
      <c r="AU8" s="701" t="n">
        <v>7</v>
      </c>
      <c r="AV8" s="702">
        <f>ROUND((AT8*2+AU8*3)/5,1)</f>
        <v/>
      </c>
      <c r="AW8" s="701" t="n"/>
      <c r="AX8" s="701" t="n"/>
      <c r="AY8" s="701" t="n"/>
      <c r="AZ8" s="701" t="n"/>
      <c r="BA8" s="702">
        <f>IFERROR(ROUND((AVERAGE(AW8:AX8)*2+AVERAGE(AY8:AZ8))/3,1),"")</f>
        <v/>
      </c>
      <c r="BB8" s="701" t="n"/>
      <c r="BC8" s="702">
        <f>IFERROR(ROUND((BA8*2+BB8*3)/5,1),"")</f>
        <v/>
      </c>
      <c r="BD8" s="703" t="n">
        <v>9</v>
      </c>
      <c r="BE8" s="703" t="n">
        <v>9</v>
      </c>
      <c r="BF8" s="702">
        <f>ROUND(AVERAGE(BD8:BE8),1)</f>
        <v/>
      </c>
      <c r="BG8" s="702">
        <f>ROUND((AVERAGE(AV8,BC8)+BF8*2)/3,1)</f>
        <v/>
      </c>
      <c r="BH8" s="704">
        <f>IFERROR(ROUND(AVERAGE(BG8,AO8,W8),1),"")</f>
        <v/>
      </c>
      <c r="BI8" s="704">
        <f>IF(BH8&gt;=9,"Xuất sắc",IF(BH8&gt;=8,"Giỏi",IF(BH8&gt;=7,"Khá",IF(BH8&gt;=6,"Trung bình - Khá",IF(BH8&gt;=5,"Trung bình","Không đạt")))))</f>
        <v/>
      </c>
      <c r="BJ8" s="684">
        <f>IF(AND(ISNUMBER(BH8), BH8&gt;=5), "x", "")</f>
        <v/>
      </c>
    </row>
    <row r="9" ht="15.4" customHeight="1" s="393">
      <c r="A9" s="610">
        <f>IF('Thông tin HV'!A9="","",'Thông tin HV'!A9)</f>
        <v/>
      </c>
      <c r="B9" s="611">
        <f>IF('Thông tin HV'!B9="","",'Thông tin HV'!B9)</f>
        <v/>
      </c>
      <c r="C9" s="612">
        <f>IF('Thông tin HV'!C9="","",'Thông tin HV'!C9)</f>
        <v/>
      </c>
      <c r="D9" s="612" t="n"/>
      <c r="E9" s="612" t="n"/>
      <c r="F9" s="701" t="n">
        <v>7</v>
      </c>
      <c r="G9" s="701" t="n"/>
      <c r="H9" s="701" t="n">
        <v>7</v>
      </c>
      <c r="I9" s="701" t="n"/>
      <c r="J9" s="702">
        <f>ROUND((AVERAGE(F9:G9)*2+AVERAGE(H9:I9))/3,1)</f>
        <v/>
      </c>
      <c r="K9" s="701" t="n">
        <v>9</v>
      </c>
      <c r="L9" s="702">
        <f>ROUND((J9*2+K9*3)/5,1)</f>
        <v/>
      </c>
      <c r="M9" s="701" t="n"/>
      <c r="N9" s="701" t="n"/>
      <c r="O9" s="701" t="n"/>
      <c r="P9" s="701" t="n"/>
      <c r="Q9" s="702">
        <f>IFERROR(ROUND((AVERAGE(M9:N9)*2+AVERAGE(O9:P9))/3,1),"")</f>
        <v/>
      </c>
      <c r="R9" s="701" t="n"/>
      <c r="S9" s="702">
        <f>IFERROR(ROUND((Q9*2+R9*3)/5,1),"")</f>
        <v/>
      </c>
      <c r="T9" s="703" t="n">
        <v>6</v>
      </c>
      <c r="U9" s="703" t="n">
        <v>7</v>
      </c>
      <c r="V9" s="702">
        <f>ROUND(AVERAGE(T9:U9),1)</f>
        <v/>
      </c>
      <c r="W9" s="702">
        <f>ROUND((AVERAGE(L9,S9)+V9*2)/3,1)</f>
        <v/>
      </c>
      <c r="X9" s="701" t="n">
        <v>7</v>
      </c>
      <c r="Y9" s="701" t="n"/>
      <c r="Z9" s="701" t="n">
        <v>7</v>
      </c>
      <c r="AA9" s="701" t="n"/>
      <c r="AB9" s="702">
        <f>ROUND((AVERAGE(X9:Y9)*2+AVERAGE(Z9:AA9))/3,1)</f>
        <v/>
      </c>
      <c r="AC9" s="701" t="n">
        <v>9</v>
      </c>
      <c r="AD9" s="702">
        <f>ROUND((AB9*2+AC9*3)/5,1)</f>
        <v/>
      </c>
      <c r="AE9" s="701" t="n"/>
      <c r="AF9" s="701" t="n"/>
      <c r="AG9" s="701" t="n"/>
      <c r="AH9" s="701" t="n"/>
      <c r="AI9" s="702">
        <f>IFERROR(ROUND((AVERAGE(AE9:AF9)*2+AVERAGE(AG9:AH9))/3,1),"")</f>
        <v/>
      </c>
      <c r="AJ9" s="701" t="n"/>
      <c r="AK9" s="702">
        <f>IFERROR(ROUND((AI9*2+AJ9*3)/5,1),"")</f>
        <v/>
      </c>
      <c r="AL9" s="703" t="n">
        <v>6</v>
      </c>
      <c r="AM9" s="703" t="n">
        <v>7</v>
      </c>
      <c r="AN9" s="702">
        <f>ROUND(AVERAGE(AL9:AM9),1)</f>
        <v/>
      </c>
      <c r="AO9" s="702">
        <f>ROUND((AVERAGE(AD9,AK9)+AN9*2)/3,1)</f>
        <v/>
      </c>
      <c r="AP9" s="701" t="n">
        <v>7</v>
      </c>
      <c r="AQ9" s="701" t="n"/>
      <c r="AR9" s="701" t="n">
        <v>7</v>
      </c>
      <c r="AS9" s="701" t="n"/>
      <c r="AT9" s="702">
        <f>ROUND((AVERAGE(AP9:AQ9)*2+AVERAGE(AR9:AS9))/3,1)</f>
        <v/>
      </c>
      <c r="AU9" s="701" t="n">
        <v>9</v>
      </c>
      <c r="AV9" s="702">
        <f>ROUND((AT9*2+AU9*3)/5,1)</f>
        <v/>
      </c>
      <c r="AW9" s="701" t="n"/>
      <c r="AX9" s="701" t="n"/>
      <c r="AY9" s="701" t="n"/>
      <c r="AZ9" s="701" t="n"/>
      <c r="BA9" s="702">
        <f>IFERROR(ROUND((AVERAGE(AW9:AX9)*2+AVERAGE(AY9:AZ9))/3,1),"")</f>
        <v/>
      </c>
      <c r="BB9" s="701" t="n"/>
      <c r="BC9" s="702">
        <f>IFERROR(ROUND((BA9*2+BB9*3)/5,1),"")</f>
        <v/>
      </c>
      <c r="BD9" s="703" t="n">
        <v>6</v>
      </c>
      <c r="BE9" s="703" t="n">
        <v>7</v>
      </c>
      <c r="BF9" s="702">
        <f>ROUND(AVERAGE(BD9:BE9),1)</f>
        <v/>
      </c>
      <c r="BG9" s="702">
        <f>ROUND((AVERAGE(AV9,BC9)+BF9*2)/3,1)</f>
        <v/>
      </c>
      <c r="BH9" s="704">
        <f>IFERROR(ROUND(AVERAGE(BG9,AO9,W9),1),"")</f>
        <v/>
      </c>
      <c r="BI9" s="704">
        <f>IF(BH9&gt;=9,"Xuất sắc",IF(BH9&gt;=8,"Giỏi",IF(BH9&gt;=7,"Khá",IF(BH9&gt;=6,"Trung bình - Khá",IF(BH9&gt;=5,"Trung bình","Không đạt")))))</f>
        <v/>
      </c>
      <c r="BJ9" s="684">
        <f>IF(AND(ISNUMBER(BH9), BH9&gt;=5), "x", "")</f>
        <v/>
      </c>
    </row>
    <row r="10" ht="15.4" customHeight="1" s="393">
      <c r="A10" s="610">
        <f>IF('Thông tin HV'!A10="","",'Thông tin HV'!A10)</f>
        <v/>
      </c>
      <c r="B10" s="611">
        <f>IF('Thông tin HV'!B10="","",'Thông tin HV'!B10)</f>
        <v/>
      </c>
      <c r="C10" s="612">
        <f>IF('Thông tin HV'!C10="","",'Thông tin HV'!C10)</f>
        <v/>
      </c>
      <c r="D10" s="612" t="n"/>
      <c r="E10" s="612" t="n"/>
      <c r="F10" s="701" t="n">
        <v>6</v>
      </c>
      <c r="G10" s="701" t="n"/>
      <c r="H10" s="701" t="n">
        <v>7</v>
      </c>
      <c r="I10" s="701" t="n"/>
      <c r="J10" s="702">
        <f>ROUND((AVERAGE(F10:G10)*2+AVERAGE(H10:I10))/3,1)</f>
        <v/>
      </c>
      <c r="K10" s="701" t="n">
        <v>8</v>
      </c>
      <c r="L10" s="702">
        <f>ROUND((J10*2+K10*3)/5,1)</f>
        <v/>
      </c>
      <c r="M10" s="701" t="n"/>
      <c r="N10" s="701" t="n"/>
      <c r="O10" s="701" t="n"/>
      <c r="P10" s="701" t="n"/>
      <c r="Q10" s="702">
        <f>IFERROR(ROUND((AVERAGE(M10:N10)*2+AVERAGE(O10:P10))/3,1),"")</f>
        <v/>
      </c>
      <c r="R10" s="701" t="n"/>
      <c r="S10" s="702">
        <f>IFERROR(ROUND((Q10*2+R10*3)/5,1),"")</f>
        <v/>
      </c>
      <c r="T10" s="703" t="n">
        <v>7</v>
      </c>
      <c r="U10" s="703" t="n">
        <v>6</v>
      </c>
      <c r="V10" s="702">
        <f>ROUND(AVERAGE(T10:U10),1)</f>
        <v/>
      </c>
      <c r="W10" s="702">
        <f>ROUND((AVERAGE(L10,S10)+V10*2)/3,1)</f>
        <v/>
      </c>
      <c r="X10" s="701" t="n">
        <v>6</v>
      </c>
      <c r="Y10" s="701" t="n"/>
      <c r="Z10" s="701" t="n">
        <v>7</v>
      </c>
      <c r="AA10" s="701" t="n"/>
      <c r="AB10" s="702">
        <f>ROUND((AVERAGE(X10:Y10)*2+AVERAGE(Z10:AA10))/3,1)</f>
        <v/>
      </c>
      <c r="AC10" s="701" t="n">
        <v>8</v>
      </c>
      <c r="AD10" s="702">
        <f>ROUND((AB10*2+AC10*3)/5,1)</f>
        <v/>
      </c>
      <c r="AE10" s="701" t="n"/>
      <c r="AF10" s="701" t="n"/>
      <c r="AG10" s="701" t="n"/>
      <c r="AH10" s="701" t="n"/>
      <c r="AI10" s="702">
        <f>IFERROR(ROUND((AVERAGE(AE10:AF10)*2+AVERAGE(AG10:AH10))/3,1),"")</f>
        <v/>
      </c>
      <c r="AJ10" s="701" t="n"/>
      <c r="AK10" s="702">
        <f>IFERROR(ROUND((AI10*2+AJ10*3)/5,1),"")</f>
        <v/>
      </c>
      <c r="AL10" s="703" t="n">
        <v>7</v>
      </c>
      <c r="AM10" s="703" t="n">
        <v>6</v>
      </c>
      <c r="AN10" s="702">
        <f>ROUND(AVERAGE(AL10:AM10),1)</f>
        <v/>
      </c>
      <c r="AO10" s="702">
        <f>ROUND((AVERAGE(AD10,AK10)+AN10*2)/3,1)</f>
        <v/>
      </c>
      <c r="AP10" s="701" t="n">
        <v>6</v>
      </c>
      <c r="AQ10" s="701" t="n"/>
      <c r="AR10" s="701" t="n">
        <v>7</v>
      </c>
      <c r="AS10" s="701" t="n"/>
      <c r="AT10" s="702">
        <f>ROUND((AVERAGE(AP10:AQ10)*2+AVERAGE(AR10:AS10))/3,1)</f>
        <v/>
      </c>
      <c r="AU10" s="701" t="n">
        <v>8</v>
      </c>
      <c r="AV10" s="702">
        <f>ROUND((AT10*2+AU10*3)/5,1)</f>
        <v/>
      </c>
      <c r="AW10" s="701" t="n"/>
      <c r="AX10" s="701" t="n"/>
      <c r="AY10" s="701" t="n"/>
      <c r="AZ10" s="701" t="n"/>
      <c r="BA10" s="702">
        <f>IFERROR(ROUND((AVERAGE(AW10:AX10)*2+AVERAGE(AY10:AZ10))/3,1),"")</f>
        <v/>
      </c>
      <c r="BB10" s="701" t="n"/>
      <c r="BC10" s="702">
        <f>IFERROR(ROUND((BA10*2+BB10*3)/5,1),"")</f>
        <v/>
      </c>
      <c r="BD10" s="703" t="n">
        <v>7</v>
      </c>
      <c r="BE10" s="703" t="n">
        <v>6</v>
      </c>
      <c r="BF10" s="702">
        <f>ROUND(AVERAGE(BD10:BE10),1)</f>
        <v/>
      </c>
      <c r="BG10" s="702">
        <f>ROUND((AVERAGE(AV10,BC10)+BF10*2)/3,1)</f>
        <v/>
      </c>
      <c r="BH10" s="704">
        <f>IFERROR(ROUND(AVERAGE(BG10,AO10,W10),1),"")</f>
        <v/>
      </c>
      <c r="BI10" s="704">
        <f>IF(BH10&gt;=9,"Xuất sắc",IF(BH10&gt;=8,"Giỏi",IF(BH10&gt;=7,"Khá",IF(BH10&gt;=6,"Trung bình - Khá",IF(BH10&gt;=5,"Trung bình","Không đạt")))))</f>
        <v/>
      </c>
      <c r="BJ10" s="684">
        <f>IF(AND(ISNUMBER(BH10), BH10&gt;=5), "x", "")</f>
        <v/>
      </c>
    </row>
    <row r="11" ht="15.4" customHeight="1" s="393">
      <c r="A11" s="610">
        <f>IF('Thông tin HV'!A11="","",'Thông tin HV'!A11)</f>
        <v/>
      </c>
      <c r="B11" s="611">
        <f>IF('Thông tin HV'!B11="","",'Thông tin HV'!B11)</f>
        <v/>
      </c>
      <c r="C11" s="612">
        <f>IF('Thông tin HV'!C11="","",'Thông tin HV'!C11)</f>
        <v/>
      </c>
      <c r="D11" s="612" t="n"/>
      <c r="E11" s="612" t="n"/>
      <c r="F11" s="701" t="n">
        <v>6</v>
      </c>
      <c r="G11" s="701" t="n"/>
      <c r="H11" s="701" t="n">
        <v>6</v>
      </c>
      <c r="I11" s="701" t="n"/>
      <c r="J11" s="702">
        <f>ROUND((AVERAGE(F11:G11)*2+AVERAGE(H11:I11))/3,1)</f>
        <v/>
      </c>
      <c r="K11" s="701" t="n">
        <v>7</v>
      </c>
      <c r="L11" s="702">
        <f>ROUND((J11*2+K11*3)/5,1)</f>
        <v/>
      </c>
      <c r="M11" s="701" t="n"/>
      <c r="N11" s="701" t="n"/>
      <c r="O11" s="701" t="n"/>
      <c r="P11" s="701" t="n"/>
      <c r="Q11" s="702">
        <f>IFERROR(ROUND((AVERAGE(M11:N11)*2+AVERAGE(O11:P11))/3,1),"")</f>
        <v/>
      </c>
      <c r="R11" s="701" t="n"/>
      <c r="S11" s="702">
        <f>IFERROR(ROUND((Q11*2+R11*3)/5,1),"")</f>
        <v/>
      </c>
      <c r="T11" s="703" t="n">
        <v>7</v>
      </c>
      <c r="U11" s="703" t="n">
        <v>7</v>
      </c>
      <c r="V11" s="702">
        <f>ROUND(AVERAGE(T11:U11),1)</f>
        <v/>
      </c>
      <c r="W11" s="702">
        <f>ROUND((AVERAGE(L11,S11)+V11*2)/3,1)</f>
        <v/>
      </c>
      <c r="X11" s="701" t="n">
        <v>6</v>
      </c>
      <c r="Y11" s="701" t="n"/>
      <c r="Z11" s="701" t="n">
        <v>6</v>
      </c>
      <c r="AA11" s="701" t="n"/>
      <c r="AB11" s="702">
        <f>ROUND((AVERAGE(X11:Y11)*2+AVERAGE(Z11:AA11))/3,1)</f>
        <v/>
      </c>
      <c r="AC11" s="701" t="n">
        <v>7</v>
      </c>
      <c r="AD11" s="702">
        <f>ROUND((AB11*2+AC11*3)/5,1)</f>
        <v/>
      </c>
      <c r="AE11" s="701" t="n"/>
      <c r="AF11" s="701" t="n"/>
      <c r="AG11" s="701" t="n"/>
      <c r="AH11" s="701" t="n"/>
      <c r="AI11" s="702">
        <f>IFERROR(ROUND((AVERAGE(AE11:AF11)*2+AVERAGE(AG11:AH11))/3,1),"")</f>
        <v/>
      </c>
      <c r="AJ11" s="701" t="n"/>
      <c r="AK11" s="702">
        <f>IFERROR(ROUND((AI11*2+AJ11*3)/5,1),"")</f>
        <v/>
      </c>
      <c r="AL11" s="703" t="n">
        <v>7</v>
      </c>
      <c r="AM11" s="703" t="n">
        <v>7</v>
      </c>
      <c r="AN11" s="702">
        <f>ROUND(AVERAGE(AL11:AM11),1)</f>
        <v/>
      </c>
      <c r="AO11" s="702">
        <f>ROUND((AVERAGE(AD11,AK11)+AN11*2)/3,1)</f>
        <v/>
      </c>
      <c r="AP11" s="701" t="n">
        <v>6</v>
      </c>
      <c r="AQ11" s="701" t="n"/>
      <c r="AR11" s="701" t="n">
        <v>6</v>
      </c>
      <c r="AS11" s="701" t="n"/>
      <c r="AT11" s="702">
        <f>ROUND((AVERAGE(AP11:AQ11)*2+AVERAGE(AR11:AS11))/3,1)</f>
        <v/>
      </c>
      <c r="AU11" s="701" t="n">
        <v>7</v>
      </c>
      <c r="AV11" s="702">
        <f>ROUND((AT11*2+AU11*3)/5,1)</f>
        <v/>
      </c>
      <c r="AW11" s="701" t="n"/>
      <c r="AX11" s="701" t="n"/>
      <c r="AY11" s="701" t="n"/>
      <c r="AZ11" s="701" t="n"/>
      <c r="BA11" s="702">
        <f>IFERROR(ROUND((AVERAGE(AW11:AX11)*2+AVERAGE(AY11:AZ11))/3,1),"")</f>
        <v/>
      </c>
      <c r="BB11" s="701" t="n"/>
      <c r="BC11" s="702">
        <f>IFERROR(ROUND((BA11*2+BB11*3)/5,1),"")</f>
        <v/>
      </c>
      <c r="BD11" s="703" t="n">
        <v>7</v>
      </c>
      <c r="BE11" s="703" t="n">
        <v>7</v>
      </c>
      <c r="BF11" s="702">
        <f>ROUND(AVERAGE(BD11:BE11),1)</f>
        <v/>
      </c>
      <c r="BG11" s="702">
        <f>ROUND((AVERAGE(AV11,BC11)+BF11*2)/3,1)</f>
        <v/>
      </c>
      <c r="BH11" s="704">
        <f>IFERROR(ROUND(AVERAGE(BG11,AO11,W11),1),"")</f>
        <v/>
      </c>
      <c r="BI11" s="704">
        <f>IF(BH11&gt;=9,"Xuất sắc",IF(BH11&gt;=8,"Giỏi",IF(BH11&gt;=7,"Khá",IF(BH11&gt;=6,"Trung bình - Khá",IF(BH11&gt;=5,"Trung bình","Không đạt")))))</f>
        <v/>
      </c>
      <c r="BJ11" s="684">
        <f>IF(AND(ISNUMBER(BH11), BH11&gt;=5), "x", "")</f>
        <v/>
      </c>
    </row>
    <row r="12" ht="15.4" customHeight="1" s="393">
      <c r="A12" s="610">
        <f>IF('Thông tin HV'!A12="","",'Thông tin HV'!A12)</f>
        <v/>
      </c>
      <c r="B12" s="611">
        <f>IF('Thông tin HV'!B12="","",'Thông tin HV'!B12)</f>
        <v/>
      </c>
      <c r="C12" s="612">
        <f>IF('Thông tin HV'!C12="","",'Thông tin HV'!C12)</f>
        <v/>
      </c>
      <c r="D12" s="612" t="n"/>
      <c r="E12" s="612" t="n"/>
      <c r="F12" s="701" t="n">
        <v>7</v>
      </c>
      <c r="G12" s="701" t="n"/>
      <c r="H12" s="701" t="n">
        <v>6</v>
      </c>
      <c r="I12" s="701" t="n"/>
      <c r="J12" s="702">
        <f>ROUND((AVERAGE(F12:G12)*2+AVERAGE(H12:I12))/3,1)</f>
        <v/>
      </c>
      <c r="K12" s="701" t="n">
        <v>5</v>
      </c>
      <c r="L12" s="702">
        <f>ROUND((J12*2+K12*3)/5,1)</f>
        <v/>
      </c>
      <c r="M12" s="701" t="n"/>
      <c r="N12" s="701" t="n"/>
      <c r="O12" s="701" t="n"/>
      <c r="P12" s="701" t="n"/>
      <c r="Q12" s="702">
        <f>IFERROR(ROUND((AVERAGE(M12:N12)*2+AVERAGE(O12:P12))/3,1),"")</f>
        <v/>
      </c>
      <c r="R12" s="701" t="n"/>
      <c r="S12" s="702">
        <f>IFERROR(ROUND((Q12*2+R12*3)/5,1),"")</f>
        <v/>
      </c>
      <c r="T12" s="703" t="n">
        <v>7</v>
      </c>
      <c r="U12" s="703" t="n">
        <v>7</v>
      </c>
      <c r="V12" s="702">
        <f>ROUND(AVERAGE(T12:U12),1)</f>
        <v/>
      </c>
      <c r="W12" s="702">
        <f>ROUND((AVERAGE(L12,S12)+V12*2)/3,1)</f>
        <v/>
      </c>
      <c r="X12" s="701" t="n">
        <v>7</v>
      </c>
      <c r="Y12" s="701" t="n"/>
      <c r="Z12" s="701" t="n">
        <v>6</v>
      </c>
      <c r="AA12" s="701" t="n"/>
      <c r="AB12" s="702">
        <f>ROUND((AVERAGE(X12:Y12)*2+AVERAGE(Z12:AA12))/3,1)</f>
        <v/>
      </c>
      <c r="AC12" s="701" t="n">
        <v>5</v>
      </c>
      <c r="AD12" s="702">
        <f>ROUND((AB12*2+AC12*3)/5,1)</f>
        <v/>
      </c>
      <c r="AE12" s="701" t="n"/>
      <c r="AF12" s="701" t="n"/>
      <c r="AG12" s="701" t="n"/>
      <c r="AH12" s="701" t="n"/>
      <c r="AI12" s="702">
        <f>IFERROR(ROUND((AVERAGE(AE12:AF12)*2+AVERAGE(AG12:AH12))/3,1),"")</f>
        <v/>
      </c>
      <c r="AJ12" s="701" t="n"/>
      <c r="AK12" s="702">
        <f>IFERROR(ROUND((AI12*2+AJ12*3)/5,1),"")</f>
        <v/>
      </c>
      <c r="AL12" s="703" t="n">
        <v>7</v>
      </c>
      <c r="AM12" s="703" t="n">
        <v>7</v>
      </c>
      <c r="AN12" s="702">
        <f>ROUND(AVERAGE(AL12:AM12),1)</f>
        <v/>
      </c>
      <c r="AO12" s="702">
        <f>ROUND((AVERAGE(AD12,AK12)+AN12*2)/3,1)</f>
        <v/>
      </c>
      <c r="AP12" s="701" t="n">
        <v>7</v>
      </c>
      <c r="AQ12" s="701" t="n"/>
      <c r="AR12" s="701" t="n">
        <v>6</v>
      </c>
      <c r="AS12" s="701" t="n"/>
      <c r="AT12" s="702">
        <f>ROUND((AVERAGE(AP12:AQ12)*2+AVERAGE(AR12:AS12))/3,1)</f>
        <v/>
      </c>
      <c r="AU12" s="701" t="n">
        <v>5</v>
      </c>
      <c r="AV12" s="702">
        <f>ROUND((AT12*2+AU12*3)/5,1)</f>
        <v/>
      </c>
      <c r="AW12" s="701" t="n"/>
      <c r="AX12" s="701" t="n"/>
      <c r="AY12" s="701" t="n"/>
      <c r="AZ12" s="701" t="n"/>
      <c r="BA12" s="702">
        <f>IFERROR(ROUND((AVERAGE(AW12:AX12)*2+AVERAGE(AY12:AZ12))/3,1),"")</f>
        <v/>
      </c>
      <c r="BB12" s="701" t="n"/>
      <c r="BC12" s="702">
        <f>IFERROR(ROUND((BA12*2+BB12*3)/5,1),"")</f>
        <v/>
      </c>
      <c r="BD12" s="703" t="n">
        <v>7</v>
      </c>
      <c r="BE12" s="703" t="n">
        <v>7</v>
      </c>
      <c r="BF12" s="702">
        <f>ROUND(AVERAGE(BD12:BE12),1)</f>
        <v/>
      </c>
      <c r="BG12" s="702">
        <f>ROUND((AVERAGE(AV12,BC12)+BF12*2)/3,1)</f>
        <v/>
      </c>
      <c r="BH12" s="704">
        <f>IFERROR(ROUND(AVERAGE(BG12,AO12,W12),1),"")</f>
        <v/>
      </c>
      <c r="BI12" s="704">
        <f>IF(BH12&gt;=9,"Xuất sắc",IF(BH12&gt;=8,"Giỏi",IF(BH12&gt;=7,"Khá",IF(BH12&gt;=6,"Trung bình - Khá",IF(BH12&gt;=5,"Trung bình","Không đạt")))))</f>
        <v/>
      </c>
      <c r="BJ12" s="684">
        <f>IF(AND(ISNUMBER(BH12), BH12&gt;=5), "x", "")</f>
        <v/>
      </c>
    </row>
    <row r="13" ht="15.4" customHeight="1" s="393">
      <c r="A13" s="610">
        <f>IF('Thông tin HV'!A13="","",'Thông tin HV'!A13)</f>
        <v/>
      </c>
      <c r="B13" s="611">
        <f>IF('Thông tin HV'!B13="","",'Thông tin HV'!B13)</f>
        <v/>
      </c>
      <c r="C13" s="612">
        <f>IF('Thông tin HV'!C13="","",'Thông tin HV'!C13)</f>
        <v/>
      </c>
      <c r="D13" s="612" t="n"/>
      <c r="E13" s="612" t="n"/>
      <c r="F13" s="701" t="n">
        <v>5</v>
      </c>
      <c r="G13" s="701" t="n"/>
      <c r="H13" s="701" t="n">
        <v>5</v>
      </c>
      <c r="I13" s="701" t="n"/>
      <c r="J13" s="702">
        <f>ROUND((AVERAGE(F13:G13)*2+AVERAGE(H13:I13))/3,1)</f>
        <v/>
      </c>
      <c r="K13" s="701" t="n">
        <v>7</v>
      </c>
      <c r="L13" s="702">
        <f>ROUND((J13*2+K13*3)/5,1)</f>
        <v/>
      </c>
      <c r="M13" s="701" t="n"/>
      <c r="N13" s="701" t="n"/>
      <c r="O13" s="701" t="n"/>
      <c r="P13" s="701" t="n"/>
      <c r="Q13" s="702">
        <f>IFERROR(ROUND((AVERAGE(M13:N13)*2+AVERAGE(O13:P13))/3,1),"")</f>
        <v/>
      </c>
      <c r="R13" s="701" t="n"/>
      <c r="S13" s="702">
        <f>IFERROR(ROUND((Q13*2+R13*3)/5,1),"")</f>
        <v/>
      </c>
      <c r="T13" s="703" t="n">
        <v>6</v>
      </c>
      <c r="U13" s="703" t="n">
        <v>7</v>
      </c>
      <c r="V13" s="702">
        <f>ROUND(AVERAGE(T13:U13),1)</f>
        <v/>
      </c>
      <c r="W13" s="702">
        <f>ROUND((AVERAGE(L13,S13)+V13*2)/3,1)</f>
        <v/>
      </c>
      <c r="X13" s="701" t="n">
        <v>5</v>
      </c>
      <c r="Y13" s="701" t="n"/>
      <c r="Z13" s="701" t="n">
        <v>5</v>
      </c>
      <c r="AA13" s="701" t="n"/>
      <c r="AB13" s="702">
        <f>ROUND((AVERAGE(X13:Y13)*2+AVERAGE(Z13:AA13))/3,1)</f>
        <v/>
      </c>
      <c r="AC13" s="701" t="n">
        <v>7</v>
      </c>
      <c r="AD13" s="702">
        <f>ROUND((AB13*2+AC13*3)/5,1)</f>
        <v/>
      </c>
      <c r="AE13" s="701" t="n"/>
      <c r="AF13" s="701" t="n"/>
      <c r="AG13" s="701" t="n"/>
      <c r="AH13" s="701" t="n"/>
      <c r="AI13" s="702">
        <f>IFERROR(ROUND((AVERAGE(AE13:AF13)*2+AVERAGE(AG13:AH13))/3,1),"")</f>
        <v/>
      </c>
      <c r="AJ13" s="701" t="n"/>
      <c r="AK13" s="702">
        <f>IFERROR(ROUND((AI13*2+AJ13*3)/5,1),"")</f>
        <v/>
      </c>
      <c r="AL13" s="703" t="n">
        <v>6</v>
      </c>
      <c r="AM13" s="703" t="n">
        <v>7</v>
      </c>
      <c r="AN13" s="702">
        <f>ROUND(AVERAGE(AL13:AM13),1)</f>
        <v/>
      </c>
      <c r="AO13" s="702">
        <f>ROUND((AVERAGE(AD13,AK13)+AN13*2)/3,1)</f>
        <v/>
      </c>
      <c r="AP13" s="701" t="n">
        <v>5</v>
      </c>
      <c r="AQ13" s="701" t="n"/>
      <c r="AR13" s="701" t="n">
        <v>5</v>
      </c>
      <c r="AS13" s="701" t="n"/>
      <c r="AT13" s="702">
        <f>ROUND((AVERAGE(AP13:AQ13)*2+AVERAGE(AR13:AS13))/3,1)</f>
        <v/>
      </c>
      <c r="AU13" s="701" t="n">
        <v>7</v>
      </c>
      <c r="AV13" s="702">
        <f>ROUND((AT13*2+AU13*3)/5,1)</f>
        <v/>
      </c>
      <c r="AW13" s="701" t="n"/>
      <c r="AX13" s="701" t="n"/>
      <c r="AY13" s="701" t="n"/>
      <c r="AZ13" s="701" t="n"/>
      <c r="BA13" s="702">
        <f>IFERROR(ROUND((AVERAGE(AW13:AX13)*2+AVERAGE(AY13:AZ13))/3,1),"")</f>
        <v/>
      </c>
      <c r="BB13" s="701" t="n"/>
      <c r="BC13" s="702">
        <f>IFERROR(ROUND((BA13*2+BB13*3)/5,1),"")</f>
        <v/>
      </c>
      <c r="BD13" s="703" t="n">
        <v>6</v>
      </c>
      <c r="BE13" s="703" t="n">
        <v>7</v>
      </c>
      <c r="BF13" s="702">
        <f>ROUND(AVERAGE(BD13:BE13),1)</f>
        <v/>
      </c>
      <c r="BG13" s="702">
        <f>ROUND((AVERAGE(AV13,BC13)+BF13*2)/3,1)</f>
        <v/>
      </c>
      <c r="BH13" s="704">
        <f>IFERROR(ROUND(AVERAGE(BG13,AO13,W13),1),"")</f>
        <v/>
      </c>
      <c r="BI13" s="704">
        <f>IF(BH13&gt;=9,"Xuất sắc",IF(BH13&gt;=8,"Giỏi",IF(BH13&gt;=7,"Khá",IF(BH13&gt;=6,"Trung bình - Khá",IF(BH13&gt;=5,"Trung bình","Không đạt")))))</f>
        <v/>
      </c>
      <c r="BJ13" s="684">
        <f>IF(AND(ISNUMBER(BH13), BH13&gt;=5), "x", "")</f>
        <v/>
      </c>
    </row>
    <row r="14" ht="15.4" customHeight="1" s="393">
      <c r="A14" s="610">
        <f>IF('Thông tin HV'!A14="","",'Thông tin HV'!A14)</f>
        <v/>
      </c>
      <c r="B14" s="611">
        <f>IF('Thông tin HV'!B14="","",'Thông tin HV'!B14)</f>
        <v/>
      </c>
      <c r="C14" s="612">
        <f>IF('Thông tin HV'!C14="","",'Thông tin HV'!C14)</f>
        <v/>
      </c>
      <c r="D14" s="612" t="n"/>
      <c r="E14" s="612" t="n"/>
      <c r="F14" s="701" t="n">
        <v>6</v>
      </c>
      <c r="G14" s="701" t="n"/>
      <c r="H14" s="701" t="n">
        <v>6</v>
      </c>
      <c r="I14" s="701" t="n"/>
      <c r="J14" s="702">
        <f>ROUND((AVERAGE(F14:G14)*2+AVERAGE(H14:I14))/3,1)</f>
        <v/>
      </c>
      <c r="K14" s="701" t="n">
        <v>9</v>
      </c>
      <c r="L14" s="702">
        <f>ROUND((J14*2+K14*3)/5,1)</f>
        <v/>
      </c>
      <c r="M14" s="701" t="n"/>
      <c r="N14" s="701" t="n"/>
      <c r="O14" s="701" t="n"/>
      <c r="P14" s="701" t="n"/>
      <c r="Q14" s="702">
        <f>IFERROR(ROUND((AVERAGE(M14:N14)*2+AVERAGE(O14:P14))/3,1),"")</f>
        <v/>
      </c>
      <c r="R14" s="701" t="n"/>
      <c r="S14" s="702">
        <f>IFERROR(ROUND((Q14*2+R14*3)/5,1),"")</f>
        <v/>
      </c>
      <c r="T14" s="703" t="n">
        <v>6</v>
      </c>
      <c r="U14" s="703" t="n">
        <v>6</v>
      </c>
      <c r="V14" s="702">
        <f>ROUND(AVERAGE(T14:U14),1)</f>
        <v/>
      </c>
      <c r="W14" s="702">
        <f>ROUND((AVERAGE(L14,S14)+V14*2)/3,1)</f>
        <v/>
      </c>
      <c r="X14" s="701" t="n">
        <v>6</v>
      </c>
      <c r="Y14" s="701" t="n"/>
      <c r="Z14" s="701" t="n">
        <v>6</v>
      </c>
      <c r="AA14" s="701" t="n"/>
      <c r="AB14" s="702">
        <f>ROUND((AVERAGE(X14:Y14)*2+AVERAGE(Z14:AA14))/3,1)</f>
        <v/>
      </c>
      <c r="AC14" s="701" t="n">
        <v>9</v>
      </c>
      <c r="AD14" s="702">
        <f>ROUND((AB14*2+AC14*3)/5,1)</f>
        <v/>
      </c>
      <c r="AE14" s="701" t="n"/>
      <c r="AF14" s="701" t="n"/>
      <c r="AG14" s="701" t="n"/>
      <c r="AH14" s="701" t="n"/>
      <c r="AI14" s="702">
        <f>IFERROR(ROUND((AVERAGE(AE14:AF14)*2+AVERAGE(AG14:AH14))/3,1),"")</f>
        <v/>
      </c>
      <c r="AJ14" s="701" t="n"/>
      <c r="AK14" s="702">
        <f>IFERROR(ROUND((AI14*2+AJ14*3)/5,1),"")</f>
        <v/>
      </c>
      <c r="AL14" s="703" t="n">
        <v>6</v>
      </c>
      <c r="AM14" s="703" t="n">
        <v>6</v>
      </c>
      <c r="AN14" s="702">
        <f>ROUND(AVERAGE(AL14:AM14),1)</f>
        <v/>
      </c>
      <c r="AO14" s="702">
        <f>ROUND((AVERAGE(AD14,AK14)+AN14*2)/3,1)</f>
        <v/>
      </c>
      <c r="AP14" s="701" t="n">
        <v>6</v>
      </c>
      <c r="AQ14" s="701" t="n"/>
      <c r="AR14" s="701" t="n">
        <v>6</v>
      </c>
      <c r="AS14" s="701" t="n"/>
      <c r="AT14" s="702">
        <f>ROUND((AVERAGE(AP14:AQ14)*2+AVERAGE(AR14:AS14))/3,1)</f>
        <v/>
      </c>
      <c r="AU14" s="701" t="n">
        <v>9</v>
      </c>
      <c r="AV14" s="702">
        <f>ROUND((AT14*2+AU14*3)/5,1)</f>
        <v/>
      </c>
      <c r="AW14" s="701" t="n"/>
      <c r="AX14" s="701" t="n"/>
      <c r="AY14" s="701" t="n"/>
      <c r="AZ14" s="701" t="n"/>
      <c r="BA14" s="702">
        <f>IFERROR(ROUND((AVERAGE(AW14:AX14)*2+AVERAGE(AY14:AZ14))/3,1),"")</f>
        <v/>
      </c>
      <c r="BB14" s="701" t="n"/>
      <c r="BC14" s="702">
        <f>IFERROR(ROUND((BA14*2+BB14*3)/5,1),"")</f>
        <v/>
      </c>
      <c r="BD14" s="703" t="n">
        <v>6</v>
      </c>
      <c r="BE14" s="703" t="n">
        <v>6</v>
      </c>
      <c r="BF14" s="702">
        <f>ROUND(AVERAGE(BD14:BE14),1)</f>
        <v/>
      </c>
      <c r="BG14" s="702">
        <f>ROUND((AVERAGE(AV14,BC14)+BF14*2)/3,1)</f>
        <v/>
      </c>
      <c r="BH14" s="704">
        <f>IFERROR(ROUND(AVERAGE(BG14,AO14,W14),1),"")</f>
        <v/>
      </c>
      <c r="BI14" s="704">
        <f>IF(BH14&gt;=9,"Xuất sắc",IF(BH14&gt;=8,"Giỏi",IF(BH14&gt;=7,"Khá",IF(BH14&gt;=6,"Trung bình - Khá",IF(BH14&gt;=5,"Trung bình","Không đạt")))))</f>
        <v/>
      </c>
      <c r="BJ14" s="684">
        <f>IF(AND(ISNUMBER(BH14), BH14&gt;=5), "x", "")</f>
        <v/>
      </c>
    </row>
    <row r="15" ht="15.4" customHeight="1" s="393">
      <c r="A15" s="610">
        <f>IF('Thông tin HV'!A15="","",'Thông tin HV'!A15)</f>
        <v/>
      </c>
      <c r="B15" s="611">
        <f>IF('Thông tin HV'!B15="","",'Thông tin HV'!B15)</f>
        <v/>
      </c>
      <c r="C15" s="612">
        <f>IF('Thông tin HV'!C15="","",'Thông tin HV'!C15)</f>
        <v/>
      </c>
      <c r="D15" s="612" t="n"/>
      <c r="E15" s="612" t="n"/>
      <c r="F15" s="701" t="n">
        <v>7</v>
      </c>
      <c r="G15" s="701" t="n"/>
      <c r="H15" s="701" t="n">
        <v>6</v>
      </c>
      <c r="I15" s="701" t="n"/>
      <c r="J15" s="702">
        <f>ROUND((AVERAGE(F15:G15)*2+AVERAGE(H15:I15))/3,1)</f>
        <v/>
      </c>
      <c r="K15" s="701" t="n">
        <v>7</v>
      </c>
      <c r="L15" s="702">
        <f>ROUND((J15*2+K15*3)/5,1)</f>
        <v/>
      </c>
      <c r="M15" s="701" t="n"/>
      <c r="N15" s="701" t="n"/>
      <c r="O15" s="701" t="n"/>
      <c r="P15" s="701" t="n"/>
      <c r="Q15" s="702">
        <f>IFERROR(ROUND((AVERAGE(M15:N15)*2+AVERAGE(O15:P15))/3,1),"")</f>
        <v/>
      </c>
      <c r="R15" s="701" t="n"/>
      <c r="S15" s="702">
        <f>IFERROR(ROUND((Q15*2+R15*3)/5,1),"")</f>
        <v/>
      </c>
      <c r="T15" s="703" t="n">
        <v>7</v>
      </c>
      <c r="U15" s="703" t="n">
        <v>6</v>
      </c>
      <c r="V15" s="702">
        <f>ROUND(AVERAGE(T15:U15),1)</f>
        <v/>
      </c>
      <c r="W15" s="702">
        <f>ROUND((AVERAGE(L15,S15)+V15*2)/3,1)</f>
        <v/>
      </c>
      <c r="X15" s="701" t="n">
        <v>7</v>
      </c>
      <c r="Y15" s="701" t="n"/>
      <c r="Z15" s="701" t="n">
        <v>6</v>
      </c>
      <c r="AA15" s="701" t="n"/>
      <c r="AB15" s="702">
        <f>ROUND((AVERAGE(X15:Y15)*2+AVERAGE(Z15:AA15))/3,1)</f>
        <v/>
      </c>
      <c r="AC15" s="701" t="n">
        <v>7</v>
      </c>
      <c r="AD15" s="702">
        <f>ROUND((AB15*2+AC15*3)/5,1)</f>
        <v/>
      </c>
      <c r="AE15" s="701" t="n"/>
      <c r="AF15" s="701" t="n"/>
      <c r="AG15" s="701" t="n"/>
      <c r="AH15" s="701" t="n"/>
      <c r="AI15" s="702">
        <f>IFERROR(ROUND((AVERAGE(AE15:AF15)*2+AVERAGE(AG15:AH15))/3,1),"")</f>
        <v/>
      </c>
      <c r="AJ15" s="701" t="n"/>
      <c r="AK15" s="702">
        <f>IFERROR(ROUND((AI15*2+AJ15*3)/5,1),"")</f>
        <v/>
      </c>
      <c r="AL15" s="703" t="n">
        <v>7</v>
      </c>
      <c r="AM15" s="703" t="n">
        <v>6</v>
      </c>
      <c r="AN15" s="702">
        <f>ROUND(AVERAGE(AL15:AM15),1)</f>
        <v/>
      </c>
      <c r="AO15" s="702">
        <f>ROUND((AVERAGE(AD15,AK15)+AN15*2)/3,1)</f>
        <v/>
      </c>
      <c r="AP15" s="701" t="n">
        <v>7</v>
      </c>
      <c r="AQ15" s="701" t="n"/>
      <c r="AR15" s="701" t="n">
        <v>6</v>
      </c>
      <c r="AS15" s="701" t="n"/>
      <c r="AT15" s="702">
        <f>ROUND((AVERAGE(AP15:AQ15)*2+AVERAGE(AR15:AS15))/3,1)</f>
        <v/>
      </c>
      <c r="AU15" s="701" t="n">
        <v>7</v>
      </c>
      <c r="AV15" s="702">
        <f>ROUND((AT15*2+AU15*3)/5,1)</f>
        <v/>
      </c>
      <c r="AW15" s="701" t="n"/>
      <c r="AX15" s="701" t="n"/>
      <c r="AY15" s="701" t="n"/>
      <c r="AZ15" s="701" t="n"/>
      <c r="BA15" s="702">
        <f>IFERROR(ROUND((AVERAGE(AW15:AX15)*2+AVERAGE(AY15:AZ15))/3,1),"")</f>
        <v/>
      </c>
      <c r="BB15" s="701" t="n"/>
      <c r="BC15" s="702">
        <f>IFERROR(ROUND((BA15*2+BB15*3)/5,1),"")</f>
        <v/>
      </c>
      <c r="BD15" s="703" t="n">
        <v>7</v>
      </c>
      <c r="BE15" s="703" t="n">
        <v>6</v>
      </c>
      <c r="BF15" s="702">
        <f>ROUND(AVERAGE(BD15:BE15),1)</f>
        <v/>
      </c>
      <c r="BG15" s="702">
        <f>ROUND((AVERAGE(AV15,BC15)+BF15*2)/3,1)</f>
        <v/>
      </c>
      <c r="BH15" s="704">
        <f>IFERROR(ROUND(AVERAGE(BG15,AO15,W15),1),"")</f>
        <v/>
      </c>
      <c r="BI15" s="704">
        <f>IF(BH15&gt;=9,"Xuất sắc",IF(BH15&gt;=8,"Giỏi",IF(BH15&gt;=7,"Khá",IF(BH15&gt;=6,"Trung bình - Khá",IF(BH15&gt;=5,"Trung bình","Không đạt")))))</f>
        <v/>
      </c>
      <c r="BJ15" s="684">
        <f>IF(AND(ISNUMBER(BH15), BH15&gt;=5), "x", "")</f>
        <v/>
      </c>
    </row>
    <row r="16" ht="15.4" customHeight="1" s="393">
      <c r="A16" s="610">
        <f>IF('Thông tin HV'!A16="","",'Thông tin HV'!A16)</f>
        <v/>
      </c>
      <c r="B16" s="611">
        <f>IF('Thông tin HV'!B16="","",'Thông tin HV'!B16)</f>
        <v/>
      </c>
      <c r="C16" s="612">
        <f>IF('Thông tin HV'!C16="","",'Thông tin HV'!C16)</f>
        <v/>
      </c>
      <c r="D16" s="612" t="n"/>
      <c r="E16" s="612" t="n"/>
      <c r="F16" s="701" t="n">
        <v>6</v>
      </c>
      <c r="G16" s="701" t="n"/>
      <c r="H16" s="701" t="n">
        <v>7</v>
      </c>
      <c r="I16" s="701" t="n"/>
      <c r="J16" s="702">
        <f>ROUND((AVERAGE(F16:G16)*2+AVERAGE(H16:I16))/3,1)</f>
        <v/>
      </c>
      <c r="K16" s="701" t="n">
        <v>6</v>
      </c>
      <c r="L16" s="702">
        <f>ROUND((J16*2+K16*3)/5,1)</f>
        <v/>
      </c>
      <c r="M16" s="701" t="n"/>
      <c r="N16" s="701" t="n"/>
      <c r="O16" s="701" t="n"/>
      <c r="P16" s="701" t="n"/>
      <c r="Q16" s="702">
        <f>IFERROR(ROUND((AVERAGE(M16:N16)*2+AVERAGE(O16:P16))/3,1),"")</f>
        <v/>
      </c>
      <c r="R16" s="701" t="n"/>
      <c r="S16" s="702">
        <f>IFERROR(ROUND((Q16*2+R16*3)/5,1),"")</f>
        <v/>
      </c>
      <c r="T16" s="703" t="n">
        <v>7</v>
      </c>
      <c r="U16" s="703" t="n">
        <v>7</v>
      </c>
      <c r="V16" s="702">
        <f>ROUND(AVERAGE(T16:U16),1)</f>
        <v/>
      </c>
      <c r="W16" s="702">
        <f>ROUND((AVERAGE(L16,S16)+V16*2)/3,1)</f>
        <v/>
      </c>
      <c r="X16" s="701" t="n">
        <v>6</v>
      </c>
      <c r="Y16" s="701" t="n"/>
      <c r="Z16" s="701" t="n">
        <v>7</v>
      </c>
      <c r="AA16" s="701" t="n"/>
      <c r="AB16" s="702">
        <f>ROUND((AVERAGE(X16:Y16)*2+AVERAGE(Z16:AA16))/3,1)</f>
        <v/>
      </c>
      <c r="AC16" s="701" t="n">
        <v>6</v>
      </c>
      <c r="AD16" s="702">
        <f>ROUND((AB16*2+AC16*3)/5,1)</f>
        <v/>
      </c>
      <c r="AE16" s="701" t="n"/>
      <c r="AF16" s="701" t="n"/>
      <c r="AG16" s="701" t="n"/>
      <c r="AH16" s="701" t="n"/>
      <c r="AI16" s="702">
        <f>IFERROR(ROUND((AVERAGE(AE16:AF16)*2+AVERAGE(AG16:AH16))/3,1),"")</f>
        <v/>
      </c>
      <c r="AJ16" s="701" t="n"/>
      <c r="AK16" s="702">
        <f>IFERROR(ROUND((AI16*2+AJ16*3)/5,1),"")</f>
        <v/>
      </c>
      <c r="AL16" s="703" t="n">
        <v>7</v>
      </c>
      <c r="AM16" s="703" t="n">
        <v>7</v>
      </c>
      <c r="AN16" s="702">
        <f>ROUND(AVERAGE(AL16:AM16),1)</f>
        <v/>
      </c>
      <c r="AO16" s="702">
        <f>ROUND((AVERAGE(AD16,AK16)+AN16*2)/3,1)</f>
        <v/>
      </c>
      <c r="AP16" s="701" t="n">
        <v>6</v>
      </c>
      <c r="AQ16" s="701" t="n"/>
      <c r="AR16" s="701" t="n">
        <v>7</v>
      </c>
      <c r="AS16" s="701" t="n"/>
      <c r="AT16" s="702">
        <f>ROUND((AVERAGE(AP16:AQ16)*2+AVERAGE(AR16:AS16))/3,1)</f>
        <v/>
      </c>
      <c r="AU16" s="701" t="n">
        <v>6</v>
      </c>
      <c r="AV16" s="702">
        <f>ROUND((AT16*2+AU16*3)/5,1)</f>
        <v/>
      </c>
      <c r="AW16" s="701" t="n"/>
      <c r="AX16" s="701" t="n"/>
      <c r="AY16" s="701" t="n"/>
      <c r="AZ16" s="701" t="n"/>
      <c r="BA16" s="702">
        <f>IFERROR(ROUND((AVERAGE(AW16:AX16)*2+AVERAGE(AY16:AZ16))/3,1),"")</f>
        <v/>
      </c>
      <c r="BB16" s="701" t="n"/>
      <c r="BC16" s="702">
        <f>IFERROR(ROUND((BA16*2+BB16*3)/5,1),"")</f>
        <v/>
      </c>
      <c r="BD16" s="703" t="n">
        <v>7</v>
      </c>
      <c r="BE16" s="703" t="n">
        <v>7</v>
      </c>
      <c r="BF16" s="702">
        <f>ROUND(AVERAGE(BD16:BE16),1)</f>
        <v/>
      </c>
      <c r="BG16" s="702">
        <f>ROUND((AVERAGE(AV16,BC16)+BF16*2)/3,1)</f>
        <v/>
      </c>
      <c r="BH16" s="704">
        <f>IFERROR(ROUND(AVERAGE(BG16,AO16,W16),1),"")</f>
        <v/>
      </c>
      <c r="BI16" s="704">
        <f>IF(BH16&gt;=9,"Xuất sắc",IF(BH16&gt;=8,"Giỏi",IF(BH16&gt;=7,"Khá",IF(BH16&gt;=6,"Trung bình - Khá",IF(BH16&gt;=5,"Trung bình","Không đạt")))))</f>
        <v/>
      </c>
      <c r="BJ16" s="684">
        <f>IF(AND(ISNUMBER(BH16), BH16&gt;=5), "x", "")</f>
        <v/>
      </c>
    </row>
    <row r="17" ht="15.4" customHeight="1" s="393">
      <c r="A17" s="610">
        <f>IF('Thông tin HV'!A17="","",'Thông tin HV'!A17)</f>
        <v/>
      </c>
      <c r="B17" s="611">
        <f>IF('Thông tin HV'!B17="","",'Thông tin HV'!B17)</f>
        <v/>
      </c>
      <c r="C17" s="612">
        <f>IF('Thông tin HV'!C17="","",'Thông tin HV'!C17)</f>
        <v/>
      </c>
      <c r="D17" s="612" t="n"/>
      <c r="E17" s="612" t="n"/>
      <c r="F17" s="701" t="n">
        <v>5</v>
      </c>
      <c r="G17" s="701" t="n"/>
      <c r="H17" s="701" t="n">
        <v>5</v>
      </c>
      <c r="I17" s="701" t="n"/>
      <c r="J17" s="702">
        <f>ROUND((AVERAGE(F17:G17)*2+AVERAGE(H17:I17))/3,1)</f>
        <v/>
      </c>
      <c r="K17" s="701" t="n">
        <v>5</v>
      </c>
      <c r="L17" s="702">
        <f>ROUND((J17*2+K17*3)/5,1)</f>
        <v/>
      </c>
      <c r="M17" s="701" t="n"/>
      <c r="N17" s="701" t="n"/>
      <c r="O17" s="701" t="n"/>
      <c r="P17" s="701" t="n"/>
      <c r="Q17" s="702">
        <f>IFERROR(ROUND((AVERAGE(M17:N17)*2+AVERAGE(O17:P17))/3,1),"")</f>
        <v/>
      </c>
      <c r="R17" s="701" t="n"/>
      <c r="S17" s="702">
        <f>IFERROR(ROUND((Q17*2+R17*3)/5,1),"")</f>
        <v/>
      </c>
      <c r="T17" s="703" t="n">
        <v>6</v>
      </c>
      <c r="U17" s="703" t="n">
        <v>7</v>
      </c>
      <c r="V17" s="702">
        <f>ROUND(AVERAGE(T17:U17),1)</f>
        <v/>
      </c>
      <c r="W17" s="702">
        <f>ROUND((AVERAGE(L17,S17)+V17*2)/3,1)</f>
        <v/>
      </c>
      <c r="X17" s="701" t="n">
        <v>5</v>
      </c>
      <c r="Y17" s="701" t="n"/>
      <c r="Z17" s="701" t="n">
        <v>5</v>
      </c>
      <c r="AA17" s="701" t="n"/>
      <c r="AB17" s="702">
        <f>ROUND((AVERAGE(X17:Y17)*2+AVERAGE(Z17:AA17))/3,1)</f>
        <v/>
      </c>
      <c r="AC17" s="701" t="n">
        <v>5</v>
      </c>
      <c r="AD17" s="702">
        <f>ROUND((AB17*2+AC17*3)/5,1)</f>
        <v/>
      </c>
      <c r="AE17" s="701" t="n"/>
      <c r="AF17" s="701" t="n"/>
      <c r="AG17" s="701" t="n"/>
      <c r="AH17" s="701" t="n"/>
      <c r="AI17" s="702">
        <f>IFERROR(ROUND((AVERAGE(AE17:AF17)*2+AVERAGE(AG17:AH17))/3,1),"")</f>
        <v/>
      </c>
      <c r="AJ17" s="701" t="n"/>
      <c r="AK17" s="702">
        <f>IFERROR(ROUND((AI17*2+AJ17*3)/5,1),"")</f>
        <v/>
      </c>
      <c r="AL17" s="703" t="n">
        <v>6</v>
      </c>
      <c r="AM17" s="703" t="n">
        <v>7</v>
      </c>
      <c r="AN17" s="702">
        <f>ROUND(AVERAGE(AL17:AM17),1)</f>
        <v/>
      </c>
      <c r="AO17" s="702">
        <f>ROUND((AVERAGE(AD17,AK17)+AN17*2)/3,1)</f>
        <v/>
      </c>
      <c r="AP17" s="701" t="n">
        <v>5</v>
      </c>
      <c r="AQ17" s="701" t="n"/>
      <c r="AR17" s="701" t="n">
        <v>5</v>
      </c>
      <c r="AS17" s="701" t="n"/>
      <c r="AT17" s="702">
        <f>ROUND((AVERAGE(AP17:AQ17)*2+AVERAGE(AR17:AS17))/3,1)</f>
        <v/>
      </c>
      <c r="AU17" s="701" t="n">
        <v>5</v>
      </c>
      <c r="AV17" s="702">
        <f>ROUND((AT17*2+AU17*3)/5,1)</f>
        <v/>
      </c>
      <c r="AW17" s="701" t="n"/>
      <c r="AX17" s="701" t="n"/>
      <c r="AY17" s="701" t="n"/>
      <c r="AZ17" s="701" t="n"/>
      <c r="BA17" s="702">
        <f>IFERROR(ROUND((AVERAGE(AW17:AX17)*2+AVERAGE(AY17:AZ17))/3,1),"")</f>
        <v/>
      </c>
      <c r="BB17" s="701" t="n"/>
      <c r="BC17" s="702">
        <f>IFERROR(ROUND((BA17*2+BB17*3)/5,1),"")</f>
        <v/>
      </c>
      <c r="BD17" s="703" t="n">
        <v>6</v>
      </c>
      <c r="BE17" s="703" t="n">
        <v>7</v>
      </c>
      <c r="BF17" s="702">
        <f>ROUND(AVERAGE(BD17:BE17),1)</f>
        <v/>
      </c>
      <c r="BG17" s="702">
        <f>ROUND((AVERAGE(AV17,BC17)+BF17*2)/3,1)</f>
        <v/>
      </c>
      <c r="BH17" s="704">
        <f>IFERROR(ROUND(AVERAGE(BG17,AO17,W17),1),"")</f>
        <v/>
      </c>
      <c r="BI17" s="704">
        <f>IF(BH17&gt;=9,"Xuất sắc",IF(BH17&gt;=8,"Giỏi",IF(BH17&gt;=7,"Khá",IF(BH17&gt;=6,"Trung bình - Khá",IF(BH17&gt;=5,"Trung bình","Không đạt")))))</f>
        <v/>
      </c>
      <c r="BJ17" s="684">
        <f>IF(AND(ISNUMBER(BH17), BH17&gt;=5), "x", "")</f>
        <v/>
      </c>
    </row>
    <row r="18" ht="15.4" customHeight="1" s="393">
      <c r="A18" s="610">
        <f>IF('Thông tin HV'!A18="","",'Thông tin HV'!A18)</f>
        <v/>
      </c>
      <c r="B18" s="611">
        <f>IF('Thông tin HV'!B18="","",'Thông tin HV'!B18)</f>
        <v/>
      </c>
      <c r="C18" s="612">
        <f>IF('Thông tin HV'!C18="","",'Thông tin HV'!C18)</f>
        <v/>
      </c>
      <c r="D18" s="612" t="n"/>
      <c r="E18" s="612" t="n"/>
      <c r="F18" s="701" t="n">
        <v>6</v>
      </c>
      <c r="G18" s="701" t="n"/>
      <c r="H18" s="701" t="n">
        <v>6</v>
      </c>
      <c r="I18" s="701" t="n"/>
      <c r="J18" s="702">
        <f>ROUND((AVERAGE(F18:G18)*2+AVERAGE(H18:I18))/3,1)</f>
        <v/>
      </c>
      <c r="K18" s="701" t="n">
        <v>7</v>
      </c>
      <c r="L18" s="702">
        <f>ROUND((J18*2+K18*3)/5,1)</f>
        <v/>
      </c>
      <c r="M18" s="701" t="n"/>
      <c r="N18" s="701" t="n"/>
      <c r="O18" s="701" t="n"/>
      <c r="P18" s="701" t="n"/>
      <c r="Q18" s="702">
        <f>IFERROR(ROUND((AVERAGE(M18:N18)*2+AVERAGE(O18:P18))/3,1),"")</f>
        <v/>
      </c>
      <c r="R18" s="701" t="n"/>
      <c r="S18" s="702">
        <f>IFERROR(ROUND((Q18*2+R18*3)/5,1),"")</f>
        <v/>
      </c>
      <c r="T18" s="703" t="n">
        <v>6</v>
      </c>
      <c r="U18" s="703" t="n">
        <v>6</v>
      </c>
      <c r="V18" s="702">
        <f>ROUND(AVERAGE(T18:U18),1)</f>
        <v/>
      </c>
      <c r="W18" s="702">
        <f>ROUND((AVERAGE(L18,S18)+V18*2)/3,1)</f>
        <v/>
      </c>
      <c r="X18" s="701" t="n">
        <v>6</v>
      </c>
      <c r="Y18" s="701" t="n"/>
      <c r="Z18" s="701" t="n">
        <v>6</v>
      </c>
      <c r="AA18" s="701" t="n"/>
      <c r="AB18" s="702">
        <f>ROUND((AVERAGE(X18:Y18)*2+AVERAGE(Z18:AA18))/3,1)</f>
        <v/>
      </c>
      <c r="AC18" s="701" t="n">
        <v>7</v>
      </c>
      <c r="AD18" s="702">
        <f>ROUND((AB18*2+AC18*3)/5,1)</f>
        <v/>
      </c>
      <c r="AE18" s="701" t="n"/>
      <c r="AF18" s="701" t="n"/>
      <c r="AG18" s="701" t="n"/>
      <c r="AH18" s="701" t="n"/>
      <c r="AI18" s="702">
        <f>IFERROR(ROUND((AVERAGE(AE18:AF18)*2+AVERAGE(AG18:AH18))/3,1),"")</f>
        <v/>
      </c>
      <c r="AJ18" s="701" t="n"/>
      <c r="AK18" s="702">
        <f>IFERROR(ROUND((AI18*2+AJ18*3)/5,1),"")</f>
        <v/>
      </c>
      <c r="AL18" s="703" t="n">
        <v>6</v>
      </c>
      <c r="AM18" s="703" t="n">
        <v>6</v>
      </c>
      <c r="AN18" s="702">
        <f>ROUND(AVERAGE(AL18:AM18),1)</f>
        <v/>
      </c>
      <c r="AO18" s="702">
        <f>ROUND((AVERAGE(AD18,AK18)+AN18*2)/3,1)</f>
        <v/>
      </c>
      <c r="AP18" s="701" t="n">
        <v>6</v>
      </c>
      <c r="AQ18" s="701" t="n"/>
      <c r="AR18" s="701" t="n">
        <v>6</v>
      </c>
      <c r="AS18" s="701" t="n"/>
      <c r="AT18" s="702">
        <f>ROUND((AVERAGE(AP18:AQ18)*2+AVERAGE(AR18:AS18))/3,1)</f>
        <v/>
      </c>
      <c r="AU18" s="701" t="n">
        <v>7</v>
      </c>
      <c r="AV18" s="702">
        <f>ROUND((AT18*2+AU18*3)/5,1)</f>
        <v/>
      </c>
      <c r="AW18" s="701" t="n"/>
      <c r="AX18" s="701" t="n"/>
      <c r="AY18" s="701" t="n"/>
      <c r="AZ18" s="701" t="n"/>
      <c r="BA18" s="702">
        <f>IFERROR(ROUND((AVERAGE(AW18:AX18)*2+AVERAGE(AY18:AZ18))/3,1),"")</f>
        <v/>
      </c>
      <c r="BB18" s="701" t="n"/>
      <c r="BC18" s="702">
        <f>IFERROR(ROUND((BA18*2+BB18*3)/5,1),"")</f>
        <v/>
      </c>
      <c r="BD18" s="703" t="n">
        <v>6</v>
      </c>
      <c r="BE18" s="703" t="n">
        <v>6</v>
      </c>
      <c r="BF18" s="702">
        <f>ROUND(AVERAGE(BD18:BE18),1)</f>
        <v/>
      </c>
      <c r="BG18" s="702">
        <f>ROUND((AVERAGE(AV18,BC18)+BF18*2)/3,1)</f>
        <v/>
      </c>
      <c r="BH18" s="704">
        <f>IFERROR(ROUND(AVERAGE(BG18,AO18,W18),1),"")</f>
        <v/>
      </c>
      <c r="BI18" s="704">
        <f>IF(BH18&gt;=9,"Xuất sắc",IF(BH18&gt;=8,"Giỏi",IF(BH18&gt;=7,"Khá",IF(BH18&gt;=6,"Trung bình - Khá",IF(BH18&gt;=5,"Trung bình","Không đạt")))))</f>
        <v/>
      </c>
      <c r="BJ18" s="684">
        <f>IF(AND(ISNUMBER(BH18), BH18&gt;=5), "x", "")</f>
        <v/>
      </c>
    </row>
    <row r="19" ht="15.4" customHeight="1" s="393">
      <c r="A19" s="610">
        <f>IF('Thông tin HV'!A19="","",'Thông tin HV'!A19)</f>
        <v/>
      </c>
      <c r="B19" s="611">
        <f>IF('Thông tin HV'!B19="","",'Thông tin HV'!B19)</f>
        <v/>
      </c>
      <c r="C19" s="612">
        <f>IF('Thông tin HV'!C19="","",'Thông tin HV'!C19)</f>
        <v/>
      </c>
      <c r="D19" s="612" t="n"/>
      <c r="E19" s="612" t="n"/>
      <c r="F19" s="701" t="n">
        <v>7</v>
      </c>
      <c r="G19" s="701" t="n"/>
      <c r="H19" s="701" t="n">
        <v>6</v>
      </c>
      <c r="I19" s="701" t="n"/>
      <c r="J19" s="702">
        <f>ROUND((AVERAGE(F19:G19)*2+AVERAGE(H19:I19))/3,1)</f>
        <v/>
      </c>
      <c r="K19" s="701" t="n">
        <v>6</v>
      </c>
      <c r="L19" s="702">
        <f>ROUND((J19*2+K19*3)/5,1)</f>
        <v/>
      </c>
      <c r="M19" s="701" t="n"/>
      <c r="N19" s="701" t="n"/>
      <c r="O19" s="701" t="n"/>
      <c r="P19" s="701" t="n"/>
      <c r="Q19" s="702">
        <f>IFERROR(ROUND((AVERAGE(M19:N19)*2+AVERAGE(O19:P19))/3,1),"")</f>
        <v/>
      </c>
      <c r="R19" s="701" t="n"/>
      <c r="S19" s="702">
        <f>IFERROR(ROUND((Q19*2+R19*3)/5,1),"")</f>
        <v/>
      </c>
      <c r="T19" s="703" t="n">
        <v>6</v>
      </c>
      <c r="U19" s="703" t="n">
        <v>5</v>
      </c>
      <c r="V19" s="702">
        <f>ROUND(AVERAGE(T19:U19),1)</f>
        <v/>
      </c>
      <c r="W19" s="702">
        <f>ROUND((AVERAGE(L19,S19)+V19*2)/3,1)</f>
        <v/>
      </c>
      <c r="X19" s="701" t="n">
        <v>7</v>
      </c>
      <c r="Y19" s="701" t="n"/>
      <c r="Z19" s="701" t="n">
        <v>6</v>
      </c>
      <c r="AA19" s="701" t="n"/>
      <c r="AB19" s="702">
        <f>ROUND((AVERAGE(X19:Y19)*2+AVERAGE(Z19:AA19))/3,1)</f>
        <v/>
      </c>
      <c r="AC19" s="701" t="n">
        <v>6</v>
      </c>
      <c r="AD19" s="702">
        <f>ROUND((AB19*2+AC19*3)/5,1)</f>
        <v/>
      </c>
      <c r="AE19" s="701" t="n"/>
      <c r="AF19" s="701" t="n"/>
      <c r="AG19" s="701" t="n"/>
      <c r="AH19" s="701" t="n"/>
      <c r="AI19" s="702">
        <f>IFERROR(ROUND((AVERAGE(AE19:AF19)*2+AVERAGE(AG19:AH19))/3,1),"")</f>
        <v/>
      </c>
      <c r="AJ19" s="701" t="n"/>
      <c r="AK19" s="702">
        <f>IFERROR(ROUND((AI19*2+AJ19*3)/5,1),"")</f>
        <v/>
      </c>
      <c r="AL19" s="703" t="n">
        <v>0</v>
      </c>
      <c r="AM19" s="703" t="n">
        <v>0</v>
      </c>
      <c r="AN19" s="702">
        <f>ROUND(AVERAGE(AL19:AM19),1)</f>
        <v/>
      </c>
      <c r="AO19" s="702">
        <f>ROUND((AVERAGE(AD19,AK19)+AN19*2)/3,1)</f>
        <v/>
      </c>
      <c r="AP19" s="701" t="n">
        <v>7</v>
      </c>
      <c r="AQ19" s="701" t="n"/>
      <c r="AR19" s="701" t="n">
        <v>6</v>
      </c>
      <c r="AS19" s="701" t="n"/>
      <c r="AT19" s="702">
        <f>ROUND((AVERAGE(AP19:AQ19)*2+AVERAGE(AR19:AS19))/3,1)</f>
        <v/>
      </c>
      <c r="AU19" s="701" t="n">
        <v>6</v>
      </c>
      <c r="AV19" s="702">
        <f>ROUND((AT19*2+AU19*3)/5,1)</f>
        <v/>
      </c>
      <c r="AW19" s="701" t="n"/>
      <c r="AX19" s="701" t="n"/>
      <c r="AY19" s="701" t="n"/>
      <c r="AZ19" s="701" t="n"/>
      <c r="BA19" s="702">
        <f>IFERROR(ROUND((AVERAGE(AW19:AX19)*2+AVERAGE(AY19:AZ19))/3,1),"")</f>
        <v/>
      </c>
      <c r="BB19" s="701" t="n"/>
      <c r="BC19" s="702">
        <f>IFERROR(ROUND((BA19*2+BB19*3)/5,1),"")</f>
        <v/>
      </c>
      <c r="BD19" s="703" t="n">
        <v>0</v>
      </c>
      <c r="BE19" s="703" t="n">
        <v>0</v>
      </c>
      <c r="BF19" s="702">
        <f>ROUND(AVERAGE(BD19:BE19),1)</f>
        <v/>
      </c>
      <c r="BG19" s="702">
        <f>ROUND((AVERAGE(AV19,BC19)+BF19*2)/3,1)</f>
        <v/>
      </c>
      <c r="BH19" s="704">
        <f>IFERROR(ROUND(AVERAGE(BG19,AO19,W19),1),"")</f>
        <v/>
      </c>
      <c r="BI19" s="704">
        <f>IF(BH19&gt;=9,"Xuất sắc",IF(BH19&gt;=8,"Giỏi",IF(BH19&gt;=7,"Khá",IF(BH19&gt;=6,"Trung bình - Khá",IF(BH19&gt;=5,"Trung bình","Không đạt")))))</f>
        <v/>
      </c>
      <c r="BJ19" s="684">
        <f>IF(AND(ISNUMBER(BH19), BH19&gt;=5), "x", "")</f>
        <v/>
      </c>
    </row>
    <row r="20" ht="15.4" customHeight="1" s="393">
      <c r="A20" s="610">
        <f>IF('Thông tin HV'!A20="","",'Thông tin HV'!A20)</f>
        <v/>
      </c>
      <c r="B20" s="611">
        <f>IF('Thông tin HV'!B20="","",'Thông tin HV'!B20)</f>
        <v/>
      </c>
      <c r="C20" s="612">
        <f>IF('Thông tin HV'!C20="","",'Thông tin HV'!C20)</f>
        <v/>
      </c>
      <c r="D20" s="612" t="n"/>
      <c r="E20" s="612" t="n"/>
      <c r="F20" s="701" t="n">
        <v>7</v>
      </c>
      <c r="G20" s="701" t="n"/>
      <c r="H20" s="701" t="n">
        <v>7</v>
      </c>
      <c r="I20" s="701" t="n"/>
      <c r="J20" s="702">
        <f>ROUND((AVERAGE(F20:G20)*2+AVERAGE(H20:I20))/3,1)</f>
        <v/>
      </c>
      <c r="K20" s="701" t="n">
        <v>7</v>
      </c>
      <c r="L20" s="702">
        <f>ROUND((J20*2+K20*3)/5,1)</f>
        <v/>
      </c>
      <c r="M20" s="701" t="n"/>
      <c r="N20" s="701" t="n"/>
      <c r="O20" s="701" t="n"/>
      <c r="P20" s="701" t="n"/>
      <c r="Q20" s="702">
        <f>IFERROR(ROUND((AVERAGE(M20:N20)*2+AVERAGE(O20:P20))/3,1),"")</f>
        <v/>
      </c>
      <c r="R20" s="701" t="n"/>
      <c r="S20" s="702">
        <f>IFERROR(ROUND((Q20*2+R20*3)/5,1),"")</f>
        <v/>
      </c>
      <c r="T20" s="703" t="n">
        <v>6</v>
      </c>
      <c r="U20" s="703" t="n">
        <v>5</v>
      </c>
      <c r="V20" s="702">
        <f>ROUND(AVERAGE(T20:U20),1)</f>
        <v/>
      </c>
      <c r="W20" s="702">
        <f>ROUND((AVERAGE(L20,S20)+V20*2)/3,1)</f>
        <v/>
      </c>
      <c r="X20" s="701" t="n">
        <v>7</v>
      </c>
      <c r="Y20" s="701" t="n"/>
      <c r="Z20" s="701" t="n">
        <v>7</v>
      </c>
      <c r="AA20" s="701" t="n"/>
      <c r="AB20" s="702">
        <f>ROUND((AVERAGE(X20:Y20)*2+AVERAGE(Z20:AA20))/3,1)</f>
        <v/>
      </c>
      <c r="AC20" s="701" t="n">
        <v>7</v>
      </c>
      <c r="AD20" s="702">
        <f>ROUND((AB20*2+AC20*3)/5,1)</f>
        <v/>
      </c>
      <c r="AE20" s="701" t="n"/>
      <c r="AF20" s="701" t="n"/>
      <c r="AG20" s="701" t="n"/>
      <c r="AH20" s="701" t="n"/>
      <c r="AI20" s="702">
        <f>IFERROR(ROUND((AVERAGE(AE20:AF20)*2+AVERAGE(AG20:AH20))/3,1),"")</f>
        <v/>
      </c>
      <c r="AJ20" s="701" t="n"/>
      <c r="AK20" s="702">
        <f>IFERROR(ROUND((AI20*2+AJ20*3)/5,1),"")</f>
        <v/>
      </c>
      <c r="AL20" s="703" t="n">
        <v>7</v>
      </c>
      <c r="AM20" s="703" t="n">
        <v>7</v>
      </c>
      <c r="AN20" s="702">
        <f>ROUND(AVERAGE(AL20:AM20),1)</f>
        <v/>
      </c>
      <c r="AO20" s="702">
        <f>ROUND((AVERAGE(AD20,AK20)+AN20*2)/3,1)</f>
        <v/>
      </c>
      <c r="AP20" s="701" t="n">
        <v>7</v>
      </c>
      <c r="AQ20" s="701" t="n"/>
      <c r="AR20" s="701" t="n">
        <v>7</v>
      </c>
      <c r="AS20" s="701" t="n"/>
      <c r="AT20" s="702">
        <f>ROUND((AVERAGE(AP20:AQ20)*2+AVERAGE(AR20:AS20))/3,1)</f>
        <v/>
      </c>
      <c r="AU20" s="701" t="n">
        <v>7</v>
      </c>
      <c r="AV20" s="702">
        <f>ROUND((AT20*2+AU20*3)/5,1)</f>
        <v/>
      </c>
      <c r="AW20" s="701" t="n"/>
      <c r="AX20" s="701" t="n"/>
      <c r="AY20" s="701" t="n"/>
      <c r="AZ20" s="701" t="n"/>
      <c r="BA20" s="702">
        <f>IFERROR(ROUND((AVERAGE(AW20:AX20)*2+AVERAGE(AY20:AZ20))/3,1),"")</f>
        <v/>
      </c>
      <c r="BB20" s="701" t="n"/>
      <c r="BC20" s="702">
        <f>IFERROR(ROUND((BA20*2+BB20*3)/5,1),"")</f>
        <v/>
      </c>
      <c r="BD20" s="703" t="n">
        <v>7</v>
      </c>
      <c r="BE20" s="703" t="n">
        <v>7</v>
      </c>
      <c r="BF20" s="702">
        <f>ROUND(AVERAGE(BD20:BE20),1)</f>
        <v/>
      </c>
      <c r="BG20" s="702">
        <f>ROUND((AVERAGE(AV20,BC20)+BF20*2)/3,1)</f>
        <v/>
      </c>
      <c r="BH20" s="704">
        <f>IFERROR(ROUND(AVERAGE(BG20,AO20,W20),1),"")</f>
        <v/>
      </c>
      <c r="BI20" s="704">
        <f>IF(BH20&gt;=9,"Xuất sắc",IF(BH20&gt;=8,"Giỏi",IF(BH20&gt;=7,"Khá",IF(BH20&gt;=6,"Trung bình - Khá",IF(BH20&gt;=5,"Trung bình","Không đạt")))))</f>
        <v/>
      </c>
      <c r="BJ20" s="684">
        <f>IF(AND(ISNUMBER(BH20), BH20&gt;=5), "x", "")</f>
        <v/>
      </c>
    </row>
    <row r="21" ht="15.4" customHeight="1" s="393">
      <c r="A21" s="610">
        <f>IF('Thông tin HV'!A21="","",'Thông tin HV'!A21)</f>
        <v/>
      </c>
      <c r="B21" s="611">
        <f>IF('Thông tin HV'!B21="","",'Thông tin HV'!B21)</f>
        <v/>
      </c>
      <c r="C21" s="612">
        <f>IF('Thông tin HV'!C21="","",'Thông tin HV'!C21)</f>
        <v/>
      </c>
      <c r="D21" s="612" t="n"/>
      <c r="E21" s="612" t="n"/>
      <c r="F21" s="701" t="n">
        <v>7</v>
      </c>
      <c r="G21" s="701" t="n"/>
      <c r="H21" s="701" t="n">
        <v>7</v>
      </c>
      <c r="I21" s="701" t="n"/>
      <c r="J21" s="702">
        <f>ROUND((AVERAGE(F21:G21)*2+AVERAGE(H21:I21))/3,1)</f>
        <v/>
      </c>
      <c r="K21" s="701" t="n">
        <v>7</v>
      </c>
      <c r="L21" s="702">
        <f>ROUND((J21*2+K21*3)/5,1)</f>
        <v/>
      </c>
      <c r="M21" s="701" t="n"/>
      <c r="N21" s="701" t="n"/>
      <c r="O21" s="701" t="n"/>
      <c r="P21" s="701" t="n"/>
      <c r="Q21" s="702">
        <f>IFERROR(ROUND((AVERAGE(M21:N21)*2+AVERAGE(O21:P21))/3,1),"")</f>
        <v/>
      </c>
      <c r="R21" s="701" t="n"/>
      <c r="S21" s="702">
        <f>IFERROR(ROUND((Q21*2+R21*3)/5,1),"")</f>
        <v/>
      </c>
      <c r="T21" s="703" t="n">
        <v>7</v>
      </c>
      <c r="U21" s="703" t="n">
        <v>5</v>
      </c>
      <c r="V21" s="702">
        <f>ROUND(AVERAGE(T21:U21),1)</f>
        <v/>
      </c>
      <c r="W21" s="702">
        <f>ROUND((AVERAGE(L21,S21)+V21*2)/3,1)</f>
        <v/>
      </c>
      <c r="X21" s="701" t="n">
        <v>7</v>
      </c>
      <c r="Y21" s="701" t="n"/>
      <c r="Z21" s="701" t="n">
        <v>7</v>
      </c>
      <c r="AA21" s="701" t="n"/>
      <c r="AB21" s="702">
        <f>ROUND((AVERAGE(X21:Y21)*2+AVERAGE(Z21:AA21))/3,1)</f>
        <v/>
      </c>
      <c r="AC21" s="701" t="n">
        <v>7</v>
      </c>
      <c r="AD21" s="702">
        <f>ROUND((AB21*2+AC21*3)/5,1)</f>
        <v/>
      </c>
      <c r="AE21" s="701" t="n"/>
      <c r="AF21" s="701" t="n"/>
      <c r="AG21" s="701" t="n"/>
      <c r="AH21" s="701" t="n"/>
      <c r="AI21" s="702">
        <f>IFERROR(ROUND((AVERAGE(AE21:AF21)*2+AVERAGE(AG21:AH21))/3,1),"")</f>
        <v/>
      </c>
      <c r="AJ21" s="701" t="n"/>
      <c r="AK21" s="702">
        <f>IFERROR(ROUND((AI21*2+AJ21*3)/5,1),"")</f>
        <v/>
      </c>
      <c r="AL21" s="703" t="n">
        <v>7</v>
      </c>
      <c r="AM21" s="703" t="n">
        <v>7</v>
      </c>
      <c r="AN21" s="702">
        <f>ROUND(AVERAGE(AL21:AM21),1)</f>
        <v/>
      </c>
      <c r="AO21" s="702">
        <f>ROUND((AVERAGE(AD21,AK21)+AN21*2)/3,1)</f>
        <v/>
      </c>
      <c r="AP21" s="701" t="n">
        <v>7</v>
      </c>
      <c r="AQ21" s="701" t="n"/>
      <c r="AR21" s="701" t="n">
        <v>7</v>
      </c>
      <c r="AS21" s="701" t="n"/>
      <c r="AT21" s="702">
        <f>ROUND((AVERAGE(AP21:AQ21)*2+AVERAGE(AR21:AS21))/3,1)</f>
        <v/>
      </c>
      <c r="AU21" s="701" t="n">
        <v>7</v>
      </c>
      <c r="AV21" s="702">
        <f>ROUND((AT21*2+AU21*3)/5,1)</f>
        <v/>
      </c>
      <c r="AW21" s="701" t="n"/>
      <c r="AX21" s="701" t="n"/>
      <c r="AY21" s="701" t="n"/>
      <c r="AZ21" s="701" t="n"/>
      <c r="BA21" s="702">
        <f>IFERROR(ROUND((AVERAGE(AW21:AX21)*2+AVERAGE(AY21:AZ21))/3,1),"")</f>
        <v/>
      </c>
      <c r="BB21" s="701" t="n"/>
      <c r="BC21" s="702">
        <f>IFERROR(ROUND((BA21*2+BB21*3)/5,1),"")</f>
        <v/>
      </c>
      <c r="BD21" s="703" t="n">
        <v>7</v>
      </c>
      <c r="BE21" s="703" t="n">
        <v>7</v>
      </c>
      <c r="BF21" s="702">
        <f>ROUND(AVERAGE(BD21:BE21),1)</f>
        <v/>
      </c>
      <c r="BG21" s="702">
        <f>ROUND((AVERAGE(AV21,BC21)+BF21*2)/3,1)</f>
        <v/>
      </c>
      <c r="BH21" s="704">
        <f>IFERROR(ROUND(AVERAGE(BG21,AO21,W21),1),"")</f>
        <v/>
      </c>
      <c r="BI21" s="704">
        <f>IF(BH21&gt;=9,"Xuất sắc",IF(BH21&gt;=8,"Giỏi",IF(BH21&gt;=7,"Khá",IF(BH21&gt;=6,"Trung bình - Khá",IF(BH21&gt;=5,"Trung bình","Không đạt")))))</f>
        <v/>
      </c>
      <c r="BJ21" s="684">
        <f>IF(AND(ISNUMBER(BH21), BH21&gt;=5), "x", "")</f>
        <v/>
      </c>
    </row>
    <row r="22" ht="15.4" customHeight="1" s="393">
      <c r="A22" s="610">
        <f>IF('Thông tin HV'!A22="","",'Thông tin HV'!A22)</f>
        <v/>
      </c>
      <c r="B22" s="611">
        <f>IF('Thông tin HV'!B22="","",'Thông tin HV'!B22)</f>
        <v/>
      </c>
      <c r="C22" s="612">
        <f>IF('Thông tin HV'!C22="","",'Thông tin HV'!C22)</f>
        <v/>
      </c>
      <c r="D22" s="612" t="n"/>
      <c r="E22" s="612" t="n"/>
      <c r="F22" s="701" t="n">
        <v>5</v>
      </c>
      <c r="G22" s="701" t="n"/>
      <c r="H22" s="701" t="n">
        <v>7</v>
      </c>
      <c r="I22" s="701" t="n"/>
      <c r="J22" s="702">
        <f>ROUND((AVERAGE(F22:G22)*2+AVERAGE(H22:I22))/3,1)</f>
        <v/>
      </c>
      <c r="K22" s="701" t="n">
        <v>5</v>
      </c>
      <c r="L22" s="702">
        <f>ROUND((J22*2+K22*3)/5,1)</f>
        <v/>
      </c>
      <c r="M22" s="701" t="n"/>
      <c r="N22" s="701" t="n"/>
      <c r="O22" s="701" t="n"/>
      <c r="P22" s="701" t="n"/>
      <c r="Q22" s="702">
        <f>IFERROR(ROUND((AVERAGE(M22:N22)*2+AVERAGE(O22:P22))/3,1),"")</f>
        <v/>
      </c>
      <c r="R22" s="701" t="n"/>
      <c r="S22" s="702">
        <f>IFERROR(ROUND((Q22*2+R22*3)/5,1),"")</f>
        <v/>
      </c>
      <c r="T22" s="703" t="n">
        <v>6</v>
      </c>
      <c r="U22" s="703" t="n">
        <v>5</v>
      </c>
      <c r="V22" s="702">
        <f>ROUND(AVERAGE(T22:U22),1)</f>
        <v/>
      </c>
      <c r="W22" s="702">
        <f>ROUND((AVERAGE(L22,S22)+V22*2)/3,1)</f>
        <v/>
      </c>
      <c r="X22" s="701" t="n">
        <v>5</v>
      </c>
      <c r="Y22" s="701" t="n"/>
      <c r="Z22" s="701" t="n">
        <v>7</v>
      </c>
      <c r="AA22" s="701" t="n"/>
      <c r="AB22" s="702">
        <f>ROUND((AVERAGE(X22:Y22)*2+AVERAGE(Z22:AA22))/3,1)</f>
        <v/>
      </c>
      <c r="AC22" s="701" t="n">
        <v>5</v>
      </c>
      <c r="AD22" s="702">
        <f>ROUND((AB22*2+AC22*3)/5,1)</f>
        <v/>
      </c>
      <c r="AE22" s="701" t="n"/>
      <c r="AF22" s="701" t="n"/>
      <c r="AG22" s="701" t="n"/>
      <c r="AH22" s="701" t="n"/>
      <c r="AI22" s="702">
        <f>IFERROR(ROUND((AVERAGE(AE22:AF22)*2+AVERAGE(AG22:AH22))/3,1),"")</f>
        <v/>
      </c>
      <c r="AJ22" s="701" t="n"/>
      <c r="AK22" s="702">
        <f>IFERROR(ROUND((AI22*2+AJ22*3)/5,1),"")</f>
        <v/>
      </c>
      <c r="AL22" s="703" t="n">
        <v>6</v>
      </c>
      <c r="AM22" s="703" t="n">
        <v>7</v>
      </c>
      <c r="AN22" s="702">
        <f>ROUND(AVERAGE(AL22:AM22),1)</f>
        <v/>
      </c>
      <c r="AO22" s="702">
        <f>ROUND((AVERAGE(AD22,AK22)+AN22*2)/3,1)</f>
        <v/>
      </c>
      <c r="AP22" s="701" t="n">
        <v>5</v>
      </c>
      <c r="AQ22" s="701" t="n"/>
      <c r="AR22" s="701" t="n">
        <v>7</v>
      </c>
      <c r="AS22" s="701" t="n"/>
      <c r="AT22" s="702">
        <f>ROUND((AVERAGE(AP22:AQ22)*2+AVERAGE(AR22:AS22))/3,1)</f>
        <v/>
      </c>
      <c r="AU22" s="701" t="n">
        <v>5</v>
      </c>
      <c r="AV22" s="702">
        <f>ROUND((AT22*2+AU22*3)/5,1)</f>
        <v/>
      </c>
      <c r="AW22" s="701" t="n"/>
      <c r="AX22" s="701" t="n"/>
      <c r="AY22" s="701" t="n"/>
      <c r="AZ22" s="701" t="n"/>
      <c r="BA22" s="702">
        <f>IFERROR(ROUND((AVERAGE(AW22:AX22)*2+AVERAGE(AY22:AZ22))/3,1),"")</f>
        <v/>
      </c>
      <c r="BB22" s="701" t="n"/>
      <c r="BC22" s="702">
        <f>IFERROR(ROUND((BA22*2+BB22*3)/5,1),"")</f>
        <v/>
      </c>
      <c r="BD22" s="703" t="n">
        <v>6</v>
      </c>
      <c r="BE22" s="703" t="n">
        <v>7</v>
      </c>
      <c r="BF22" s="702">
        <f>ROUND(AVERAGE(BD22:BE22),1)</f>
        <v/>
      </c>
      <c r="BG22" s="702">
        <f>ROUND((AVERAGE(AV22,BC22)+BF22*2)/3,1)</f>
        <v/>
      </c>
      <c r="BH22" s="704">
        <f>IFERROR(ROUND(AVERAGE(BG22,AO22,W22),1),"")</f>
        <v/>
      </c>
      <c r="BI22" s="704">
        <f>IF(BH22&gt;=9,"Xuất sắc",IF(BH22&gt;=8,"Giỏi",IF(BH22&gt;=7,"Khá",IF(BH22&gt;=6,"Trung bình - Khá",IF(BH22&gt;=5,"Trung bình","Không đạt")))))</f>
        <v/>
      </c>
      <c r="BJ22" s="684">
        <f>IF(AND(ISNUMBER(BH22), BH22&gt;=5), "x", "")</f>
        <v/>
      </c>
    </row>
    <row r="23" ht="15.4" customHeight="1" s="393">
      <c r="A23" s="610">
        <f>IF('Thông tin HV'!A23="","",'Thông tin HV'!A23)</f>
        <v/>
      </c>
      <c r="B23" s="611">
        <f>IF('Thông tin HV'!B23="","",'Thông tin HV'!B23)</f>
        <v/>
      </c>
      <c r="C23" s="612">
        <f>IF('Thông tin HV'!C23="","",'Thông tin HV'!C23)</f>
        <v/>
      </c>
      <c r="D23" s="612" t="n"/>
      <c r="E23" s="612" t="n"/>
      <c r="F23" s="701" t="n">
        <v>6</v>
      </c>
      <c r="G23" s="701" t="n"/>
      <c r="H23" s="701" t="n">
        <v>7</v>
      </c>
      <c r="I23" s="701" t="n"/>
      <c r="J23" s="702">
        <f>ROUND((AVERAGE(F23:G23)*2+AVERAGE(H23:I23))/3,1)</f>
        <v/>
      </c>
      <c r="K23" s="701" t="n">
        <v>9</v>
      </c>
      <c r="L23" s="702">
        <f>ROUND((J23*2+K23*3)/5,1)</f>
        <v/>
      </c>
      <c r="M23" s="701" t="n"/>
      <c r="N23" s="701" t="n"/>
      <c r="O23" s="701" t="n"/>
      <c r="P23" s="701" t="n"/>
      <c r="Q23" s="702">
        <f>IFERROR(ROUND((AVERAGE(M23:N23)*2+AVERAGE(O23:P23))/3,1),"")</f>
        <v/>
      </c>
      <c r="R23" s="701" t="n"/>
      <c r="S23" s="702">
        <f>IFERROR(ROUND((Q23*2+R23*3)/5,1),"")</f>
        <v/>
      </c>
      <c r="T23" s="703" t="n">
        <v>5</v>
      </c>
      <c r="U23" s="703" t="n">
        <v>5</v>
      </c>
      <c r="V23" s="702">
        <f>ROUND(AVERAGE(T23:U23),1)</f>
        <v/>
      </c>
      <c r="W23" s="702">
        <f>ROUND((AVERAGE(L23,S23)+V23*2)/3,1)</f>
        <v/>
      </c>
      <c r="X23" s="701" t="n">
        <v>6</v>
      </c>
      <c r="Y23" s="701" t="n"/>
      <c r="Z23" s="701" t="n">
        <v>7</v>
      </c>
      <c r="AA23" s="701" t="n"/>
      <c r="AB23" s="702">
        <f>ROUND((AVERAGE(X23:Y23)*2+AVERAGE(Z23:AA23))/3,1)</f>
        <v/>
      </c>
      <c r="AC23" s="701" t="n">
        <v>9</v>
      </c>
      <c r="AD23" s="702">
        <f>ROUND((AB23*2+AC23*3)/5,1)</f>
        <v/>
      </c>
      <c r="AE23" s="701" t="n"/>
      <c r="AF23" s="701" t="n"/>
      <c r="AG23" s="701" t="n"/>
      <c r="AH23" s="701" t="n"/>
      <c r="AI23" s="702">
        <f>IFERROR(ROUND((AVERAGE(AE23:AF23)*2+AVERAGE(AG23:AH23))/3,1),"")</f>
        <v/>
      </c>
      <c r="AJ23" s="701" t="n"/>
      <c r="AK23" s="702">
        <f>IFERROR(ROUND((AI23*2+AJ23*3)/5,1),"")</f>
        <v/>
      </c>
      <c r="AL23" s="703" t="n">
        <v>5</v>
      </c>
      <c r="AM23" s="703" t="n">
        <v>6</v>
      </c>
      <c r="AN23" s="702">
        <f>ROUND(AVERAGE(AL23:AM23),1)</f>
        <v/>
      </c>
      <c r="AO23" s="702">
        <f>ROUND((AVERAGE(AD23,AK23)+AN23*2)/3,1)</f>
        <v/>
      </c>
      <c r="AP23" s="701" t="n">
        <v>6</v>
      </c>
      <c r="AQ23" s="701" t="n"/>
      <c r="AR23" s="701" t="n">
        <v>7</v>
      </c>
      <c r="AS23" s="701" t="n"/>
      <c r="AT23" s="702">
        <f>ROUND((AVERAGE(AP23:AQ23)*2+AVERAGE(AR23:AS23))/3,1)</f>
        <v/>
      </c>
      <c r="AU23" s="701" t="n">
        <v>9</v>
      </c>
      <c r="AV23" s="702">
        <f>ROUND((AT23*2+AU23*3)/5,1)</f>
        <v/>
      </c>
      <c r="AW23" s="701" t="n"/>
      <c r="AX23" s="701" t="n"/>
      <c r="AY23" s="701" t="n"/>
      <c r="AZ23" s="701" t="n"/>
      <c r="BA23" s="702">
        <f>IFERROR(ROUND((AVERAGE(AW23:AX23)*2+AVERAGE(AY23:AZ23))/3,1),"")</f>
        <v/>
      </c>
      <c r="BB23" s="701" t="n"/>
      <c r="BC23" s="702">
        <f>IFERROR(ROUND((BA23*2+BB23*3)/5,1),"")</f>
        <v/>
      </c>
      <c r="BD23" s="703" t="n">
        <v>5</v>
      </c>
      <c r="BE23" s="703" t="n">
        <v>6</v>
      </c>
      <c r="BF23" s="702">
        <f>ROUND(AVERAGE(BD23:BE23),1)</f>
        <v/>
      </c>
      <c r="BG23" s="702">
        <f>ROUND((AVERAGE(AV23,BC23)+BF23*2)/3,1)</f>
        <v/>
      </c>
      <c r="BH23" s="704">
        <f>IFERROR(ROUND(AVERAGE(BG23,AO23,W23),1),"")</f>
        <v/>
      </c>
      <c r="BI23" s="704">
        <f>IF(BH23&gt;=9,"Xuất sắc",IF(BH23&gt;=8,"Giỏi",IF(BH23&gt;=7,"Khá",IF(BH23&gt;=6,"Trung bình - Khá",IF(BH23&gt;=5,"Trung bình","Không đạt")))))</f>
        <v/>
      </c>
      <c r="BJ23" s="684">
        <f>IF(AND(ISNUMBER(BH23), BH23&gt;=5), "x", "")</f>
        <v/>
      </c>
    </row>
    <row r="24" ht="15.4" customHeight="1" s="393">
      <c r="A24" s="610">
        <f>IF('Thông tin HV'!A24="","",'Thông tin HV'!A24)</f>
        <v/>
      </c>
      <c r="B24" s="611">
        <f>IF('Thông tin HV'!B24="","",'Thông tin HV'!B24)</f>
        <v/>
      </c>
      <c r="C24" s="612">
        <f>IF('Thông tin HV'!C24="","",'Thông tin HV'!C24)</f>
        <v/>
      </c>
      <c r="D24" s="612" t="n"/>
      <c r="E24" s="612" t="n"/>
      <c r="F24" s="701" t="n">
        <v>6</v>
      </c>
      <c r="G24" s="701" t="n"/>
      <c r="H24" s="701" t="n">
        <v>6</v>
      </c>
      <c r="I24" s="701" t="n"/>
      <c r="J24" s="702">
        <f>ROUND((AVERAGE(F24:G24)*2+AVERAGE(H24:I24))/3,1)</f>
        <v/>
      </c>
      <c r="K24" s="701" t="n">
        <v>9</v>
      </c>
      <c r="L24" s="702">
        <f>ROUND((J24*2+K24*3)/5,1)</f>
        <v/>
      </c>
      <c r="M24" s="701" t="n"/>
      <c r="N24" s="701" t="n"/>
      <c r="O24" s="701" t="n"/>
      <c r="P24" s="701" t="n"/>
      <c r="Q24" s="702">
        <f>IFERROR(ROUND((AVERAGE(M24:N24)*2+AVERAGE(O24:P24))/3,1),"")</f>
        <v/>
      </c>
      <c r="R24" s="701" t="n"/>
      <c r="S24" s="702">
        <f>IFERROR(ROUND((Q24*2+R24*3)/5,1),"")</f>
        <v/>
      </c>
      <c r="T24" s="703" t="n">
        <v>6</v>
      </c>
      <c r="U24" s="703" t="n">
        <v>5</v>
      </c>
      <c r="V24" s="702">
        <f>ROUND(AVERAGE(T24:U24),1)</f>
        <v/>
      </c>
      <c r="W24" s="702">
        <f>ROUND((AVERAGE(L24,S24)+V24*2)/3,1)</f>
        <v/>
      </c>
      <c r="X24" s="701" t="n">
        <v>6</v>
      </c>
      <c r="Y24" s="701" t="n"/>
      <c r="Z24" s="701" t="n">
        <v>6</v>
      </c>
      <c r="AA24" s="701" t="n"/>
      <c r="AB24" s="702">
        <f>ROUND((AVERAGE(X24:Y24)*2+AVERAGE(Z24:AA24))/3,1)</f>
        <v/>
      </c>
      <c r="AC24" s="701" t="n">
        <v>9</v>
      </c>
      <c r="AD24" s="702">
        <f>ROUND((AB24*2+AC24*3)/5,1)</f>
        <v/>
      </c>
      <c r="AE24" s="701" t="n"/>
      <c r="AF24" s="701" t="n"/>
      <c r="AG24" s="701" t="n"/>
      <c r="AH24" s="701" t="n"/>
      <c r="AI24" s="702">
        <f>IFERROR(ROUND((AVERAGE(AE24:AF24)*2+AVERAGE(AG24:AH24))/3,1),"")</f>
        <v/>
      </c>
      <c r="AJ24" s="701" t="n"/>
      <c r="AK24" s="702">
        <f>IFERROR(ROUND((AI24*2+AJ24*3)/5,1),"")</f>
        <v/>
      </c>
      <c r="AL24" s="703" t="n">
        <v>6</v>
      </c>
      <c r="AM24" s="703" t="n">
        <v>7</v>
      </c>
      <c r="AN24" s="702">
        <f>ROUND(AVERAGE(AL24:AM24),1)</f>
        <v/>
      </c>
      <c r="AO24" s="702">
        <f>ROUND((AVERAGE(AD24,AK24)+AN24*2)/3,1)</f>
        <v/>
      </c>
      <c r="AP24" s="701" t="n">
        <v>6</v>
      </c>
      <c r="AQ24" s="701" t="n"/>
      <c r="AR24" s="701" t="n">
        <v>6</v>
      </c>
      <c r="AS24" s="701" t="n"/>
      <c r="AT24" s="702">
        <f>ROUND((AVERAGE(AP24:AQ24)*2+AVERAGE(AR24:AS24))/3,1)</f>
        <v/>
      </c>
      <c r="AU24" s="701" t="n">
        <v>9</v>
      </c>
      <c r="AV24" s="702">
        <f>ROUND((AT24*2+AU24*3)/5,1)</f>
        <v/>
      </c>
      <c r="AW24" s="701" t="n"/>
      <c r="AX24" s="701" t="n"/>
      <c r="AY24" s="701" t="n"/>
      <c r="AZ24" s="701" t="n"/>
      <c r="BA24" s="702">
        <f>IFERROR(ROUND((AVERAGE(AW24:AX24)*2+AVERAGE(AY24:AZ24))/3,1),"")</f>
        <v/>
      </c>
      <c r="BB24" s="701" t="n"/>
      <c r="BC24" s="702">
        <f>IFERROR(ROUND((BA24*2+BB24*3)/5,1),"")</f>
        <v/>
      </c>
      <c r="BD24" s="703" t="n">
        <v>6</v>
      </c>
      <c r="BE24" s="703" t="n">
        <v>7</v>
      </c>
      <c r="BF24" s="702">
        <f>ROUND(AVERAGE(BD24:BE24),1)</f>
        <v/>
      </c>
      <c r="BG24" s="702">
        <f>ROUND((AVERAGE(AV24,BC24)+BF24*2)/3,1)</f>
        <v/>
      </c>
      <c r="BH24" s="704">
        <f>IFERROR(ROUND(AVERAGE(BG24,AO24,W24),1),"")</f>
        <v/>
      </c>
      <c r="BI24" s="704">
        <f>IF(BH24&gt;=9,"Xuất sắc",IF(BH24&gt;=8,"Giỏi",IF(BH24&gt;=7,"Khá",IF(BH24&gt;=6,"Trung bình - Khá",IF(BH24&gt;=5,"Trung bình","Không đạt")))))</f>
        <v/>
      </c>
      <c r="BJ24" s="684">
        <f>IF(AND(ISNUMBER(BH24), BH24&gt;=5), "x", "")</f>
        <v/>
      </c>
    </row>
    <row r="25" ht="15.4" customHeight="1" s="393">
      <c r="A25" s="610">
        <f>IF('Thông tin HV'!A25="","",'Thông tin HV'!A25)</f>
        <v/>
      </c>
      <c r="B25" s="611">
        <f>IF('Thông tin HV'!B25="","",'Thông tin HV'!B25)</f>
        <v/>
      </c>
      <c r="C25" s="612">
        <f>IF('Thông tin HV'!C25="","",'Thông tin HV'!C25)</f>
        <v/>
      </c>
      <c r="D25" s="612" t="n"/>
      <c r="E25" s="612" t="n"/>
      <c r="F25" s="701" t="n">
        <v>6</v>
      </c>
      <c r="G25" s="701" t="n"/>
      <c r="H25" s="701" t="n">
        <v>6</v>
      </c>
      <c r="I25" s="701" t="n"/>
      <c r="J25" s="702">
        <f>ROUND((AVERAGE(F25:G25)*2+AVERAGE(H25:I25))/3,1)</f>
        <v/>
      </c>
      <c r="K25" s="701" t="n">
        <v>7</v>
      </c>
      <c r="L25" s="702">
        <f>ROUND((J25*2+K25*3)/5,1)</f>
        <v/>
      </c>
      <c r="M25" s="701" t="n"/>
      <c r="N25" s="701" t="n"/>
      <c r="O25" s="701" t="n"/>
      <c r="P25" s="701" t="n"/>
      <c r="Q25" s="702">
        <f>IFERROR(ROUND((AVERAGE(M25:N25)*2+AVERAGE(O25:P25))/3,1),"")</f>
        <v/>
      </c>
      <c r="R25" s="701" t="n"/>
      <c r="S25" s="702">
        <f>IFERROR(ROUND((Q25*2+R25*3)/5,1),"")</f>
        <v/>
      </c>
      <c r="T25" s="703" t="n">
        <v>7</v>
      </c>
      <c r="U25" s="703" t="n">
        <v>7</v>
      </c>
      <c r="V25" s="702">
        <f>ROUND(AVERAGE(T25:U25),1)</f>
        <v/>
      </c>
      <c r="W25" s="702">
        <f>ROUND((AVERAGE(L25,S25)+V25*2)/3,1)</f>
        <v/>
      </c>
      <c r="X25" s="701" t="n">
        <v>6</v>
      </c>
      <c r="Y25" s="701" t="n"/>
      <c r="Z25" s="701" t="n">
        <v>6</v>
      </c>
      <c r="AA25" s="701" t="n"/>
      <c r="AB25" s="702">
        <f>ROUND((AVERAGE(X25:Y25)*2+AVERAGE(Z25:AA25))/3,1)</f>
        <v/>
      </c>
      <c r="AC25" s="701" t="n">
        <v>7</v>
      </c>
      <c r="AD25" s="702">
        <f>ROUND((AB25*2+AC25*3)/5,1)</f>
        <v/>
      </c>
      <c r="AE25" s="701" t="n"/>
      <c r="AF25" s="701" t="n"/>
      <c r="AG25" s="701" t="n"/>
      <c r="AH25" s="701" t="n"/>
      <c r="AI25" s="702">
        <f>IFERROR(ROUND((AVERAGE(AE25:AF25)*2+AVERAGE(AG25:AH25))/3,1),"")</f>
        <v/>
      </c>
      <c r="AJ25" s="701" t="n"/>
      <c r="AK25" s="702">
        <f>IFERROR(ROUND((AI25*2+AJ25*3)/5,1),"")</f>
        <v/>
      </c>
      <c r="AL25" s="703" t="n">
        <v>7</v>
      </c>
      <c r="AM25" s="703" t="n">
        <v>7</v>
      </c>
      <c r="AN25" s="702">
        <f>ROUND(AVERAGE(AL25:AM25),1)</f>
        <v/>
      </c>
      <c r="AO25" s="702">
        <f>ROUND((AVERAGE(AD25,AK25)+AN25*2)/3,1)</f>
        <v/>
      </c>
      <c r="AP25" s="701" t="n">
        <v>6</v>
      </c>
      <c r="AQ25" s="701" t="n"/>
      <c r="AR25" s="701" t="n">
        <v>6</v>
      </c>
      <c r="AS25" s="701" t="n"/>
      <c r="AT25" s="702">
        <f>ROUND((AVERAGE(AP25:AQ25)*2+AVERAGE(AR25:AS25))/3,1)</f>
        <v/>
      </c>
      <c r="AU25" s="701" t="n">
        <v>7</v>
      </c>
      <c r="AV25" s="702">
        <f>ROUND((AT25*2+AU25*3)/5,1)</f>
        <v/>
      </c>
      <c r="AW25" s="701" t="n"/>
      <c r="AX25" s="701" t="n"/>
      <c r="AY25" s="701" t="n"/>
      <c r="AZ25" s="701" t="n"/>
      <c r="BA25" s="702">
        <f>IFERROR(ROUND((AVERAGE(AW25:AX25)*2+AVERAGE(AY25:AZ25))/3,1),"")</f>
        <v/>
      </c>
      <c r="BB25" s="701" t="n"/>
      <c r="BC25" s="702">
        <f>IFERROR(ROUND((BA25*2+BB25*3)/5,1),"")</f>
        <v/>
      </c>
      <c r="BD25" s="703" t="n">
        <v>7</v>
      </c>
      <c r="BE25" s="703" t="n">
        <v>7</v>
      </c>
      <c r="BF25" s="702">
        <f>ROUND(AVERAGE(BD25:BE25),1)</f>
        <v/>
      </c>
      <c r="BG25" s="702">
        <f>ROUND((AVERAGE(AV25,BC25)+BF25*2)/3,1)</f>
        <v/>
      </c>
      <c r="BH25" s="704">
        <f>IFERROR(ROUND(AVERAGE(BG25,AO25,W25),1),"")</f>
        <v/>
      </c>
      <c r="BI25" s="704">
        <f>IF(BH25&gt;=9,"Xuất sắc",IF(BH25&gt;=8,"Giỏi",IF(BH25&gt;=7,"Khá",IF(BH25&gt;=6,"Trung bình - Khá",IF(BH25&gt;=5,"Trung bình","Không đạt")))))</f>
        <v/>
      </c>
      <c r="BJ25" s="684">
        <f>IF(AND(ISNUMBER(BH25), BH25&gt;=5), "x", "")</f>
        <v/>
      </c>
    </row>
    <row r="26" ht="15.4" customHeight="1" s="393">
      <c r="A26" s="610">
        <f>IF('Thông tin HV'!A26="","",'Thông tin HV'!A26)</f>
        <v/>
      </c>
      <c r="B26" s="611">
        <f>IF('Thông tin HV'!B26="","",'Thông tin HV'!B26)</f>
        <v/>
      </c>
      <c r="C26" s="612">
        <f>IF('Thông tin HV'!C26="","",'Thông tin HV'!C26)</f>
        <v/>
      </c>
      <c r="D26" s="612" t="n"/>
      <c r="E26" s="612" t="n"/>
      <c r="F26" s="701" t="n">
        <v>7</v>
      </c>
      <c r="G26" s="701" t="n"/>
      <c r="H26" s="701" t="n">
        <v>7</v>
      </c>
      <c r="I26" s="701" t="n"/>
      <c r="J26" s="702">
        <f>ROUND((AVERAGE(F26:G26)*2+AVERAGE(H26:I26))/3,1)</f>
        <v/>
      </c>
      <c r="K26" s="701" t="n">
        <v>6</v>
      </c>
      <c r="L26" s="702">
        <f>ROUND((J26*2+K26*3)/5,1)</f>
        <v/>
      </c>
      <c r="M26" s="701" t="n"/>
      <c r="N26" s="701" t="n"/>
      <c r="O26" s="701" t="n"/>
      <c r="P26" s="701" t="n"/>
      <c r="Q26" s="702">
        <f>IFERROR(ROUND((AVERAGE(M26:N26)*2+AVERAGE(O26:P26))/3,1),"")</f>
        <v/>
      </c>
      <c r="R26" s="701" t="n"/>
      <c r="S26" s="702">
        <f>IFERROR(ROUND((Q26*2+R26*3)/5,1),"")</f>
        <v/>
      </c>
      <c r="T26" s="703" t="n">
        <v>8</v>
      </c>
      <c r="U26" s="703" t="n">
        <v>9</v>
      </c>
      <c r="V26" s="702">
        <f>ROUND(AVERAGE(T26:U26),1)</f>
        <v/>
      </c>
      <c r="W26" s="702">
        <f>ROUND((AVERAGE(L26,S26)+V26*2)/3,1)</f>
        <v/>
      </c>
      <c r="X26" s="701" t="n">
        <v>7</v>
      </c>
      <c r="Y26" s="701" t="n"/>
      <c r="Z26" s="701" t="n">
        <v>7</v>
      </c>
      <c r="AA26" s="701" t="n"/>
      <c r="AB26" s="702">
        <f>ROUND((AVERAGE(X26:Y26)*2+AVERAGE(Z26:AA26))/3,1)</f>
        <v/>
      </c>
      <c r="AC26" s="701" t="n">
        <v>6</v>
      </c>
      <c r="AD26" s="702">
        <f>ROUND((AB26*2+AC26*3)/5,1)</f>
        <v/>
      </c>
      <c r="AE26" s="701" t="n"/>
      <c r="AF26" s="701" t="n"/>
      <c r="AG26" s="701" t="n"/>
      <c r="AH26" s="701" t="n"/>
      <c r="AI26" s="702">
        <f>IFERROR(ROUND((AVERAGE(AE26:AF26)*2+AVERAGE(AG26:AH26))/3,1),"")</f>
        <v/>
      </c>
      <c r="AJ26" s="701" t="n"/>
      <c r="AK26" s="702">
        <f>IFERROR(ROUND((AI26*2+AJ26*3)/5,1),"")</f>
        <v/>
      </c>
      <c r="AL26" s="703" t="n">
        <v>8</v>
      </c>
      <c r="AM26" s="703" t="n">
        <v>9</v>
      </c>
      <c r="AN26" s="702">
        <f>ROUND(AVERAGE(AL26:AM26),1)</f>
        <v/>
      </c>
      <c r="AO26" s="702">
        <f>ROUND((AVERAGE(AD26,AK26)+AN26*2)/3,1)</f>
        <v/>
      </c>
      <c r="AP26" s="701" t="n">
        <v>7</v>
      </c>
      <c r="AQ26" s="701" t="n"/>
      <c r="AR26" s="701" t="n">
        <v>7</v>
      </c>
      <c r="AS26" s="701" t="n"/>
      <c r="AT26" s="702">
        <f>ROUND((AVERAGE(AP26:AQ26)*2+AVERAGE(AR26:AS26))/3,1)</f>
        <v/>
      </c>
      <c r="AU26" s="701" t="n">
        <v>6</v>
      </c>
      <c r="AV26" s="702">
        <f>ROUND((AT26*2+AU26*3)/5,1)</f>
        <v/>
      </c>
      <c r="AW26" s="701" t="n"/>
      <c r="AX26" s="701" t="n"/>
      <c r="AY26" s="701" t="n"/>
      <c r="AZ26" s="701" t="n"/>
      <c r="BA26" s="702">
        <f>IFERROR(ROUND((AVERAGE(AW26:AX26)*2+AVERAGE(AY26:AZ26))/3,1),"")</f>
        <v/>
      </c>
      <c r="BB26" s="701" t="n"/>
      <c r="BC26" s="702">
        <f>IFERROR(ROUND((BA26*2+BB26*3)/5,1),"")</f>
        <v/>
      </c>
      <c r="BD26" s="703" t="n">
        <v>8</v>
      </c>
      <c r="BE26" s="703" t="n">
        <v>9</v>
      </c>
      <c r="BF26" s="702">
        <f>ROUND(AVERAGE(BD26:BE26),1)</f>
        <v/>
      </c>
      <c r="BG26" s="702">
        <f>ROUND((AVERAGE(AV26,BC26)+BF26*2)/3,1)</f>
        <v/>
      </c>
      <c r="BH26" s="704">
        <f>IFERROR(ROUND(AVERAGE(BG26,AO26,W26),1),"")</f>
        <v/>
      </c>
      <c r="BI26" s="704">
        <f>IF(BH26&gt;=9,"Xuất sắc",IF(BH26&gt;=8,"Giỏi",IF(BH26&gt;=7,"Khá",IF(BH26&gt;=6,"Trung bình - Khá",IF(BH26&gt;=5,"Trung bình","Không đạt")))))</f>
        <v/>
      </c>
      <c r="BJ26" s="684">
        <f>IF(AND(ISNUMBER(BH26), BH26&gt;=5), "x", "")</f>
        <v/>
      </c>
    </row>
    <row r="27" ht="15.4" customHeight="1" s="393">
      <c r="A27" s="610">
        <f>IF('Thông tin HV'!A27="","",'Thông tin HV'!A27)</f>
        <v/>
      </c>
      <c r="B27" s="611">
        <f>IF('Thông tin HV'!B27="","",'Thông tin HV'!B27)</f>
        <v/>
      </c>
      <c r="C27" s="612">
        <f>IF('Thông tin HV'!C27="","",'Thông tin HV'!C27)</f>
        <v/>
      </c>
      <c r="D27" s="612" t="n"/>
      <c r="E27" s="612" t="n"/>
      <c r="F27" s="701" t="n">
        <v>7</v>
      </c>
      <c r="G27" s="701" t="n"/>
      <c r="H27" s="701" t="n">
        <v>7</v>
      </c>
      <c r="I27" s="701" t="n"/>
      <c r="J27" s="702">
        <f>ROUND((AVERAGE(F27:G27)*2+AVERAGE(H27:I27))/3,1)</f>
        <v/>
      </c>
      <c r="K27" s="701" t="n">
        <v>8</v>
      </c>
      <c r="L27" s="702">
        <f>ROUND((J27*2+K27*3)/5,1)</f>
        <v/>
      </c>
      <c r="M27" s="701" t="n"/>
      <c r="N27" s="701" t="n"/>
      <c r="O27" s="701" t="n"/>
      <c r="P27" s="701" t="n"/>
      <c r="Q27" s="702">
        <f>IFERROR(ROUND((AVERAGE(M27:N27)*2+AVERAGE(O27:P27))/3,1),"")</f>
        <v/>
      </c>
      <c r="R27" s="701" t="n"/>
      <c r="S27" s="702">
        <f>IFERROR(ROUND((Q27*2+R27*3)/5,1),"")</f>
        <v/>
      </c>
      <c r="T27" s="703" t="n">
        <v>6</v>
      </c>
      <c r="U27" s="703" t="n">
        <v>7</v>
      </c>
      <c r="V27" s="702">
        <f>ROUND(AVERAGE(T27:U27),1)</f>
        <v/>
      </c>
      <c r="W27" s="702">
        <f>ROUND((AVERAGE(L27,S27)+V27*2)/3,1)</f>
        <v/>
      </c>
      <c r="X27" s="701" t="n">
        <v>7</v>
      </c>
      <c r="Y27" s="701" t="n"/>
      <c r="Z27" s="701" t="n">
        <v>7</v>
      </c>
      <c r="AA27" s="701" t="n"/>
      <c r="AB27" s="702">
        <f>ROUND((AVERAGE(X27:Y27)*2+AVERAGE(Z27:AA27))/3,1)</f>
        <v/>
      </c>
      <c r="AC27" s="701" t="n">
        <v>8</v>
      </c>
      <c r="AD27" s="702">
        <f>ROUND((AB27*2+AC27*3)/5,1)</f>
        <v/>
      </c>
      <c r="AE27" s="701" t="n"/>
      <c r="AF27" s="701" t="n"/>
      <c r="AG27" s="701" t="n"/>
      <c r="AH27" s="701" t="n"/>
      <c r="AI27" s="702">
        <f>IFERROR(ROUND((AVERAGE(AE27:AF27)*2+AVERAGE(AG27:AH27))/3,1),"")</f>
        <v/>
      </c>
      <c r="AJ27" s="701" t="n"/>
      <c r="AK27" s="702">
        <f>IFERROR(ROUND((AI27*2+AJ27*3)/5,1),"")</f>
        <v/>
      </c>
      <c r="AL27" s="703" t="n">
        <v>6</v>
      </c>
      <c r="AM27" s="703" t="n">
        <v>7</v>
      </c>
      <c r="AN27" s="702">
        <f>ROUND(AVERAGE(AL27:AM27),1)</f>
        <v/>
      </c>
      <c r="AO27" s="702">
        <f>ROUND((AVERAGE(AD27,AK27)+AN27*2)/3,1)</f>
        <v/>
      </c>
      <c r="AP27" s="701" t="n">
        <v>7</v>
      </c>
      <c r="AQ27" s="701" t="n"/>
      <c r="AR27" s="701" t="n">
        <v>7</v>
      </c>
      <c r="AS27" s="701" t="n"/>
      <c r="AT27" s="702">
        <f>ROUND((AVERAGE(AP27:AQ27)*2+AVERAGE(AR27:AS27))/3,1)</f>
        <v/>
      </c>
      <c r="AU27" s="701" t="n">
        <v>8</v>
      </c>
      <c r="AV27" s="702">
        <f>ROUND((AT27*2+AU27*3)/5,1)</f>
        <v/>
      </c>
      <c r="AW27" s="701" t="n"/>
      <c r="AX27" s="701" t="n"/>
      <c r="AY27" s="701" t="n"/>
      <c r="AZ27" s="701" t="n"/>
      <c r="BA27" s="702">
        <f>IFERROR(ROUND((AVERAGE(AW27:AX27)*2+AVERAGE(AY27:AZ27))/3,1),"")</f>
        <v/>
      </c>
      <c r="BB27" s="701" t="n"/>
      <c r="BC27" s="702">
        <f>IFERROR(ROUND((BA27*2+BB27*3)/5,1),"")</f>
        <v/>
      </c>
      <c r="BD27" s="703" t="n">
        <v>6</v>
      </c>
      <c r="BE27" s="703" t="n">
        <v>7</v>
      </c>
      <c r="BF27" s="702">
        <f>ROUND(AVERAGE(BD27:BE27),1)</f>
        <v/>
      </c>
      <c r="BG27" s="702">
        <f>ROUND((AVERAGE(AV27,BC27)+BF27*2)/3,1)</f>
        <v/>
      </c>
      <c r="BH27" s="704">
        <f>IFERROR(ROUND(AVERAGE(BG27,AO27,W27),1),"")</f>
        <v/>
      </c>
      <c r="BI27" s="704">
        <f>IF(BH27&gt;=9,"Xuất sắc",IF(BH27&gt;=8,"Giỏi",IF(BH27&gt;=7,"Khá",IF(BH27&gt;=6,"Trung bình - Khá",IF(BH27&gt;=5,"Trung bình","Không đạt")))))</f>
        <v/>
      </c>
      <c r="BJ27" s="684">
        <f>IF(AND(ISNUMBER(BH27), BH27&gt;=5), "x", "")</f>
        <v/>
      </c>
    </row>
    <row r="28" ht="15.4" customHeight="1" s="393">
      <c r="A28" s="610">
        <f>IF('Thông tin HV'!A28="","",'Thông tin HV'!A28)</f>
        <v/>
      </c>
      <c r="B28" s="611">
        <f>IF('Thông tin HV'!B28="","",'Thông tin HV'!B28)</f>
        <v/>
      </c>
      <c r="C28" s="612">
        <f>IF('Thông tin HV'!C28="","",'Thông tin HV'!C28)</f>
        <v/>
      </c>
      <c r="D28" s="612" t="n"/>
      <c r="E28" s="612" t="n"/>
      <c r="F28" s="701" t="n">
        <v>7</v>
      </c>
      <c r="G28" s="701" t="n"/>
      <c r="H28" s="701" t="n">
        <v>6</v>
      </c>
      <c r="I28" s="701" t="n"/>
      <c r="J28" s="702">
        <f>ROUND((AVERAGE(F28:G28)*2+AVERAGE(H28:I28))/3,1)</f>
        <v/>
      </c>
      <c r="K28" s="701" t="n">
        <v>5</v>
      </c>
      <c r="L28" s="702">
        <f>ROUND((J28*2+K28*3)/5,1)</f>
        <v/>
      </c>
      <c r="M28" s="701" t="n"/>
      <c r="N28" s="701" t="n"/>
      <c r="O28" s="701" t="n"/>
      <c r="P28" s="701" t="n"/>
      <c r="Q28" s="702">
        <f>IFERROR(ROUND((AVERAGE(M28:N28)*2+AVERAGE(O28:P28))/3,1),"")</f>
        <v/>
      </c>
      <c r="R28" s="701" t="n"/>
      <c r="S28" s="702">
        <f>IFERROR(ROUND((Q28*2+R28*3)/5,1),"")</f>
        <v/>
      </c>
      <c r="T28" s="703" t="n">
        <v>7</v>
      </c>
      <c r="U28" s="703" t="n">
        <v>7</v>
      </c>
      <c r="V28" s="702">
        <f>ROUND(AVERAGE(T28:U28),1)</f>
        <v/>
      </c>
      <c r="W28" s="702">
        <f>ROUND((AVERAGE(L28,S28)+V28*2)/3,1)</f>
        <v/>
      </c>
      <c r="X28" s="701" t="n">
        <v>7</v>
      </c>
      <c r="Y28" s="701" t="n"/>
      <c r="Z28" s="701" t="n">
        <v>6</v>
      </c>
      <c r="AA28" s="701" t="n"/>
      <c r="AB28" s="702">
        <f>ROUND((AVERAGE(X28:Y28)*2+AVERAGE(Z28:AA28))/3,1)</f>
        <v/>
      </c>
      <c r="AC28" s="701" t="n">
        <v>5</v>
      </c>
      <c r="AD28" s="702">
        <f>ROUND((AB28*2+AC28*3)/5,1)</f>
        <v/>
      </c>
      <c r="AE28" s="701" t="n"/>
      <c r="AF28" s="701" t="n"/>
      <c r="AG28" s="701" t="n"/>
      <c r="AH28" s="701" t="n"/>
      <c r="AI28" s="702">
        <f>IFERROR(ROUND((AVERAGE(AE28:AF28)*2+AVERAGE(AG28:AH28))/3,1),"")</f>
        <v/>
      </c>
      <c r="AJ28" s="701" t="n"/>
      <c r="AK28" s="702">
        <f>IFERROR(ROUND((AI28*2+AJ28*3)/5,1),"")</f>
        <v/>
      </c>
      <c r="AL28" s="703" t="n">
        <v>7</v>
      </c>
      <c r="AM28" s="703" t="n">
        <v>7</v>
      </c>
      <c r="AN28" s="702">
        <f>ROUND(AVERAGE(AL28:AM28),1)</f>
        <v/>
      </c>
      <c r="AO28" s="702">
        <f>ROUND((AVERAGE(AD28,AK28)+AN28*2)/3,1)</f>
        <v/>
      </c>
      <c r="AP28" s="701" t="n">
        <v>7</v>
      </c>
      <c r="AQ28" s="701" t="n"/>
      <c r="AR28" s="701" t="n">
        <v>6</v>
      </c>
      <c r="AS28" s="701" t="n"/>
      <c r="AT28" s="702">
        <f>ROUND((AVERAGE(AP28:AQ28)*2+AVERAGE(AR28:AS28))/3,1)</f>
        <v/>
      </c>
      <c r="AU28" s="701" t="n">
        <v>5</v>
      </c>
      <c r="AV28" s="702">
        <f>ROUND((AT28*2+AU28*3)/5,1)</f>
        <v/>
      </c>
      <c r="AW28" s="701" t="n"/>
      <c r="AX28" s="701" t="n"/>
      <c r="AY28" s="701" t="n"/>
      <c r="AZ28" s="701" t="n"/>
      <c r="BA28" s="702">
        <f>IFERROR(ROUND((AVERAGE(AW28:AX28)*2+AVERAGE(AY28:AZ28))/3,1),"")</f>
        <v/>
      </c>
      <c r="BB28" s="701" t="n"/>
      <c r="BC28" s="702">
        <f>IFERROR(ROUND((BA28*2+BB28*3)/5,1),"")</f>
        <v/>
      </c>
      <c r="BD28" s="703" t="n">
        <v>7</v>
      </c>
      <c r="BE28" s="703" t="n">
        <v>7</v>
      </c>
      <c r="BF28" s="702">
        <f>ROUND(AVERAGE(BD28:BE28),1)</f>
        <v/>
      </c>
      <c r="BG28" s="702">
        <f>ROUND((AVERAGE(AV28,BC28)+BF28*2)/3,1)</f>
        <v/>
      </c>
      <c r="BH28" s="704">
        <f>IFERROR(ROUND(AVERAGE(BG28,AO28,W28),1),"")</f>
        <v/>
      </c>
      <c r="BI28" s="704">
        <f>IF(BH28&gt;=9,"Xuất sắc",IF(BH28&gt;=8,"Giỏi",IF(BH28&gt;=7,"Khá",IF(BH28&gt;=6,"Trung bình - Khá",IF(BH28&gt;=5,"Trung bình","Không đạt")))))</f>
        <v/>
      </c>
      <c r="BJ28" s="684">
        <f>IF(AND(ISNUMBER(BH28), BH28&gt;=5), "x", "")</f>
        <v/>
      </c>
    </row>
    <row r="29" ht="15.4" customHeight="1" s="393">
      <c r="A29" s="610">
        <f>IF('Thông tin HV'!A29="","",'Thông tin HV'!A29)</f>
        <v/>
      </c>
      <c r="B29" s="611">
        <f>IF('Thông tin HV'!B29="","",'Thông tin HV'!B29)</f>
        <v/>
      </c>
      <c r="C29" s="612">
        <f>IF('Thông tin HV'!C29="","",'Thông tin HV'!C29)</f>
        <v/>
      </c>
      <c r="D29" s="612" t="n"/>
      <c r="E29" s="612" t="n"/>
      <c r="F29" s="701" t="n">
        <v>6</v>
      </c>
      <c r="G29" s="701" t="n"/>
      <c r="H29" s="701" t="n">
        <v>7</v>
      </c>
      <c r="I29" s="701" t="n"/>
      <c r="J29" s="702">
        <f>ROUND((AVERAGE(F29:G29)*2+AVERAGE(H29:I29))/3,1)</f>
        <v/>
      </c>
      <c r="K29" s="701" t="n">
        <v>7</v>
      </c>
      <c r="L29" s="702">
        <f>ROUND((J29*2+K29*3)/5,1)</f>
        <v/>
      </c>
      <c r="M29" s="701" t="n"/>
      <c r="N29" s="701" t="n"/>
      <c r="O29" s="701" t="n"/>
      <c r="P29" s="701" t="n"/>
      <c r="Q29" s="702">
        <f>IFERROR(ROUND((AVERAGE(M29:N29)*2+AVERAGE(O29:P29))/3,1),"")</f>
        <v/>
      </c>
      <c r="R29" s="701" t="n"/>
      <c r="S29" s="702">
        <f>IFERROR(ROUND((Q29*2+R29*3)/5,1),"")</f>
        <v/>
      </c>
      <c r="T29" s="703" t="n">
        <v>7</v>
      </c>
      <c r="U29" s="703" t="n">
        <v>6</v>
      </c>
      <c r="V29" s="702">
        <f>ROUND(AVERAGE(T29:U29),1)</f>
        <v/>
      </c>
      <c r="W29" s="702">
        <f>ROUND((AVERAGE(L29,S29)+V29*2)/3,1)</f>
        <v/>
      </c>
      <c r="X29" s="701" t="n">
        <v>6</v>
      </c>
      <c r="Y29" s="701" t="n"/>
      <c r="Z29" s="701" t="n">
        <v>7</v>
      </c>
      <c r="AA29" s="701" t="n"/>
      <c r="AB29" s="702">
        <f>ROUND((AVERAGE(X29:Y29)*2+AVERAGE(Z29:AA29))/3,1)</f>
        <v/>
      </c>
      <c r="AC29" s="701" t="n">
        <v>7</v>
      </c>
      <c r="AD29" s="702">
        <f>ROUND((AB29*2+AC29*3)/5,1)</f>
        <v/>
      </c>
      <c r="AE29" s="701" t="n"/>
      <c r="AF29" s="701" t="n"/>
      <c r="AG29" s="701" t="n"/>
      <c r="AH29" s="701" t="n"/>
      <c r="AI29" s="702">
        <f>IFERROR(ROUND((AVERAGE(AE29:AF29)*2+AVERAGE(AG29:AH29))/3,1),"")</f>
        <v/>
      </c>
      <c r="AJ29" s="701" t="n"/>
      <c r="AK29" s="702">
        <f>IFERROR(ROUND((AI29*2+AJ29*3)/5,1),"")</f>
        <v/>
      </c>
      <c r="AL29" s="703" t="n">
        <v>7</v>
      </c>
      <c r="AM29" s="703" t="n">
        <v>6</v>
      </c>
      <c r="AN29" s="702">
        <f>ROUND(AVERAGE(AL29:AM29),1)</f>
        <v/>
      </c>
      <c r="AO29" s="702">
        <f>ROUND((AVERAGE(AD29,AK29)+AN29*2)/3,1)</f>
        <v/>
      </c>
      <c r="AP29" s="701" t="n">
        <v>6</v>
      </c>
      <c r="AQ29" s="701" t="n"/>
      <c r="AR29" s="701" t="n">
        <v>7</v>
      </c>
      <c r="AS29" s="701" t="n"/>
      <c r="AT29" s="702">
        <f>ROUND((AVERAGE(AP29:AQ29)*2+AVERAGE(AR29:AS29))/3,1)</f>
        <v/>
      </c>
      <c r="AU29" s="701" t="n">
        <v>7</v>
      </c>
      <c r="AV29" s="702">
        <f>ROUND((AT29*2+AU29*3)/5,1)</f>
        <v/>
      </c>
      <c r="AW29" s="701" t="n"/>
      <c r="AX29" s="701" t="n"/>
      <c r="AY29" s="701" t="n"/>
      <c r="AZ29" s="701" t="n"/>
      <c r="BA29" s="702">
        <f>IFERROR(ROUND((AVERAGE(AW29:AX29)*2+AVERAGE(AY29:AZ29))/3,1),"")</f>
        <v/>
      </c>
      <c r="BB29" s="701" t="n"/>
      <c r="BC29" s="702">
        <f>IFERROR(ROUND((BA29*2+BB29*3)/5,1),"")</f>
        <v/>
      </c>
      <c r="BD29" s="703" t="n">
        <v>7</v>
      </c>
      <c r="BE29" s="703" t="n">
        <v>6</v>
      </c>
      <c r="BF29" s="702">
        <f>ROUND(AVERAGE(BD29:BE29),1)</f>
        <v/>
      </c>
      <c r="BG29" s="702">
        <f>ROUND((AVERAGE(AV29,BC29)+BF29*2)/3,1)</f>
        <v/>
      </c>
      <c r="BH29" s="704">
        <f>IFERROR(ROUND(AVERAGE(BG29,AO29,W29),1),"")</f>
        <v/>
      </c>
      <c r="BI29" s="704">
        <f>IF(BH29&gt;=9,"Xuất sắc",IF(BH29&gt;=8,"Giỏi",IF(BH29&gt;=7,"Khá",IF(BH29&gt;=6,"Trung bình - Khá",IF(BH29&gt;=5,"Trung bình","Không đạt")))))</f>
        <v/>
      </c>
      <c r="BJ29" s="684">
        <f>IF(AND(ISNUMBER(BH29), BH29&gt;=5), "x", "")</f>
        <v/>
      </c>
    </row>
    <row r="30" ht="15.4" customHeight="1" s="393">
      <c r="A30" s="610">
        <f>IF('Thông tin HV'!A30="","",'Thông tin HV'!A30)</f>
        <v/>
      </c>
      <c r="B30" s="611">
        <f>IF('Thông tin HV'!B30="","",'Thông tin HV'!B30)</f>
        <v/>
      </c>
      <c r="C30" s="612">
        <f>IF('Thông tin HV'!C30="","",'Thông tin HV'!C30)</f>
        <v/>
      </c>
      <c r="D30" s="612" t="n"/>
      <c r="E30" s="612" t="n"/>
      <c r="F30" s="701" t="n">
        <v>6</v>
      </c>
      <c r="G30" s="701" t="n"/>
      <c r="H30" s="701" t="n">
        <v>6</v>
      </c>
      <c r="I30" s="701" t="n"/>
      <c r="J30" s="702">
        <f>ROUND((AVERAGE(F30:G30)*2+AVERAGE(H30:I30))/3,1)</f>
        <v/>
      </c>
      <c r="K30" s="701" t="n">
        <v>9</v>
      </c>
      <c r="L30" s="702">
        <f>ROUND((J30*2+K30*3)/5,1)</f>
        <v/>
      </c>
      <c r="M30" s="701" t="n"/>
      <c r="N30" s="701" t="n"/>
      <c r="O30" s="701" t="n"/>
      <c r="P30" s="701" t="n"/>
      <c r="Q30" s="702">
        <f>IFERROR(ROUND((AVERAGE(M30:N30)*2+AVERAGE(O30:P30))/3,1),"")</f>
        <v/>
      </c>
      <c r="R30" s="701" t="n"/>
      <c r="S30" s="702">
        <f>IFERROR(ROUND((Q30*2+R30*3)/5,1),"")</f>
        <v/>
      </c>
      <c r="T30" s="703" t="n">
        <v>7</v>
      </c>
      <c r="U30" s="703" t="n">
        <v>7</v>
      </c>
      <c r="V30" s="702">
        <f>ROUND(AVERAGE(T30:U30),1)</f>
        <v/>
      </c>
      <c r="W30" s="702">
        <f>ROUND((AVERAGE(L30,S30)+V30*2)/3,1)</f>
        <v/>
      </c>
      <c r="X30" s="701" t="n">
        <v>6</v>
      </c>
      <c r="Y30" s="701" t="n"/>
      <c r="Z30" s="701" t="n">
        <v>6</v>
      </c>
      <c r="AA30" s="701" t="n"/>
      <c r="AB30" s="702">
        <f>ROUND((AVERAGE(X30:Y30)*2+AVERAGE(Z30:AA30))/3,1)</f>
        <v/>
      </c>
      <c r="AC30" s="701" t="n">
        <v>9</v>
      </c>
      <c r="AD30" s="702">
        <f>ROUND((AB30*2+AC30*3)/5,1)</f>
        <v/>
      </c>
      <c r="AE30" s="701" t="n"/>
      <c r="AF30" s="701" t="n"/>
      <c r="AG30" s="701" t="n"/>
      <c r="AH30" s="701" t="n"/>
      <c r="AI30" s="702">
        <f>IFERROR(ROUND((AVERAGE(AE30:AF30)*2+AVERAGE(AG30:AH30))/3,1),"")</f>
        <v/>
      </c>
      <c r="AJ30" s="701" t="n"/>
      <c r="AK30" s="702">
        <f>IFERROR(ROUND((AI30*2+AJ30*3)/5,1),"")</f>
        <v/>
      </c>
      <c r="AL30" s="703" t="n">
        <v>7</v>
      </c>
      <c r="AM30" s="703" t="n">
        <v>7</v>
      </c>
      <c r="AN30" s="702">
        <f>ROUND(AVERAGE(AL30:AM30),1)</f>
        <v/>
      </c>
      <c r="AO30" s="702">
        <f>ROUND((AVERAGE(AD30,AK30)+AN30*2)/3,1)</f>
        <v/>
      </c>
      <c r="AP30" s="701" t="n">
        <v>6</v>
      </c>
      <c r="AQ30" s="701" t="n"/>
      <c r="AR30" s="701" t="n">
        <v>6</v>
      </c>
      <c r="AS30" s="701" t="n"/>
      <c r="AT30" s="702">
        <f>ROUND((AVERAGE(AP30:AQ30)*2+AVERAGE(AR30:AS30))/3,1)</f>
        <v/>
      </c>
      <c r="AU30" s="701" t="n">
        <v>9</v>
      </c>
      <c r="AV30" s="702">
        <f>ROUND((AT30*2+AU30*3)/5,1)</f>
        <v/>
      </c>
      <c r="AW30" s="701" t="n"/>
      <c r="AX30" s="701" t="n"/>
      <c r="AY30" s="701" t="n"/>
      <c r="AZ30" s="701" t="n"/>
      <c r="BA30" s="702">
        <f>IFERROR(ROUND((AVERAGE(AW30:AX30)*2+AVERAGE(AY30:AZ30))/3,1),"")</f>
        <v/>
      </c>
      <c r="BB30" s="701" t="n"/>
      <c r="BC30" s="702">
        <f>IFERROR(ROUND((BA30*2+BB30*3)/5,1),"")</f>
        <v/>
      </c>
      <c r="BD30" s="703" t="n">
        <v>7</v>
      </c>
      <c r="BE30" s="703" t="n">
        <v>7</v>
      </c>
      <c r="BF30" s="702">
        <f>ROUND(AVERAGE(BD30:BE30),1)</f>
        <v/>
      </c>
      <c r="BG30" s="702">
        <f>ROUND((AVERAGE(AV30,BC30)+BF30*2)/3,1)</f>
        <v/>
      </c>
      <c r="BH30" s="704">
        <f>IFERROR(ROUND(AVERAGE(BG30,AO30,W30),1),"")</f>
        <v/>
      </c>
      <c r="BI30" s="704">
        <f>IF(BH30&gt;=9,"Xuất sắc",IF(BH30&gt;=8,"Giỏi",IF(BH30&gt;=7,"Khá",IF(BH30&gt;=6,"Trung bình - Khá",IF(BH30&gt;=5,"Trung bình","Không đạt")))))</f>
        <v/>
      </c>
      <c r="BJ30" s="684">
        <f>IF(AND(ISNUMBER(BH30), BH30&gt;=5), "x", "")</f>
        <v/>
      </c>
    </row>
    <row r="31" ht="15.4" customHeight="1" s="393">
      <c r="A31" s="610">
        <f>IF('Thông tin HV'!A31="","",'Thông tin HV'!A31)</f>
        <v/>
      </c>
      <c r="B31" s="611">
        <f>IF('Thông tin HV'!B31="","",'Thông tin HV'!B31)</f>
        <v/>
      </c>
      <c r="C31" s="612">
        <f>IF('Thông tin HV'!C31="","",'Thông tin HV'!C31)</f>
        <v/>
      </c>
      <c r="D31" s="612" t="n"/>
      <c r="E31" s="612" t="n"/>
      <c r="F31" s="701" t="n">
        <v>7</v>
      </c>
      <c r="G31" s="701" t="n"/>
      <c r="H31" s="701" t="n">
        <v>6</v>
      </c>
      <c r="I31" s="701" t="n"/>
      <c r="J31" s="702">
        <f>ROUND((AVERAGE(F31:G31)*2+AVERAGE(H31:I31))/3,1)</f>
        <v/>
      </c>
      <c r="K31" s="701" t="n">
        <v>8</v>
      </c>
      <c r="L31" s="702">
        <f>ROUND((J31*2+K31*3)/5,1)</f>
        <v/>
      </c>
      <c r="M31" s="701" t="n"/>
      <c r="N31" s="701" t="n"/>
      <c r="O31" s="701" t="n"/>
      <c r="P31" s="701" t="n"/>
      <c r="Q31" s="702">
        <f>IFERROR(ROUND((AVERAGE(M31:N31)*2+AVERAGE(O31:P31))/3,1),"")</f>
        <v/>
      </c>
      <c r="R31" s="701" t="n"/>
      <c r="S31" s="702">
        <f>IFERROR(ROUND((Q31*2+R31*3)/5,1),"")</f>
        <v/>
      </c>
      <c r="T31" s="703" t="n">
        <v>7</v>
      </c>
      <c r="U31" s="703" t="n">
        <v>6</v>
      </c>
      <c r="V31" s="702">
        <f>ROUND(AVERAGE(T31:U31),1)</f>
        <v/>
      </c>
      <c r="W31" s="702">
        <f>ROUND((AVERAGE(L31,S31)+V31*2)/3,1)</f>
        <v/>
      </c>
      <c r="X31" s="701" t="n">
        <v>7</v>
      </c>
      <c r="Y31" s="701" t="n"/>
      <c r="Z31" s="701" t="n">
        <v>6</v>
      </c>
      <c r="AA31" s="701" t="n"/>
      <c r="AB31" s="702">
        <f>ROUND((AVERAGE(X31:Y31)*2+AVERAGE(Z31:AA31))/3,1)</f>
        <v/>
      </c>
      <c r="AC31" s="701" t="n">
        <v>8</v>
      </c>
      <c r="AD31" s="702">
        <f>ROUND((AB31*2+AC31*3)/5,1)</f>
        <v/>
      </c>
      <c r="AE31" s="701" t="n"/>
      <c r="AF31" s="701" t="n"/>
      <c r="AG31" s="701" t="n"/>
      <c r="AH31" s="701" t="n"/>
      <c r="AI31" s="702">
        <f>IFERROR(ROUND((AVERAGE(AE31:AF31)*2+AVERAGE(AG31:AH31))/3,1),"")</f>
        <v/>
      </c>
      <c r="AJ31" s="701" t="n"/>
      <c r="AK31" s="702">
        <f>IFERROR(ROUND((AI31*2+AJ31*3)/5,1),"")</f>
        <v/>
      </c>
      <c r="AL31" s="703" t="n">
        <v>7</v>
      </c>
      <c r="AM31" s="703" t="n">
        <v>6</v>
      </c>
      <c r="AN31" s="702">
        <f>ROUND(AVERAGE(AL31:AM31),1)</f>
        <v/>
      </c>
      <c r="AO31" s="702">
        <f>ROUND((AVERAGE(AD31,AK31)+AN31*2)/3,1)</f>
        <v/>
      </c>
      <c r="AP31" s="701" t="n">
        <v>7</v>
      </c>
      <c r="AQ31" s="701" t="n"/>
      <c r="AR31" s="701" t="n">
        <v>6</v>
      </c>
      <c r="AS31" s="701" t="n"/>
      <c r="AT31" s="702">
        <f>ROUND((AVERAGE(AP31:AQ31)*2+AVERAGE(AR31:AS31))/3,1)</f>
        <v/>
      </c>
      <c r="AU31" s="701" t="n">
        <v>8</v>
      </c>
      <c r="AV31" s="702">
        <f>ROUND((AT31*2+AU31*3)/5,1)</f>
        <v/>
      </c>
      <c r="AW31" s="701" t="n"/>
      <c r="AX31" s="701" t="n"/>
      <c r="AY31" s="701" t="n"/>
      <c r="AZ31" s="701" t="n"/>
      <c r="BA31" s="702">
        <f>IFERROR(ROUND((AVERAGE(AW31:AX31)*2+AVERAGE(AY31:AZ31))/3,1),"")</f>
        <v/>
      </c>
      <c r="BB31" s="701" t="n"/>
      <c r="BC31" s="702">
        <f>IFERROR(ROUND((BA31*2+BB31*3)/5,1),"")</f>
        <v/>
      </c>
      <c r="BD31" s="703" t="n">
        <v>7</v>
      </c>
      <c r="BE31" s="703" t="n">
        <v>6</v>
      </c>
      <c r="BF31" s="702">
        <f>ROUND(AVERAGE(BD31:BE31),1)</f>
        <v/>
      </c>
      <c r="BG31" s="702">
        <f>ROUND((AVERAGE(AV31,BC31)+BF31*2)/3,1)</f>
        <v/>
      </c>
      <c r="BH31" s="704">
        <f>IFERROR(ROUND(AVERAGE(BG31,AO31,W31),1),"")</f>
        <v/>
      </c>
      <c r="BI31" s="704">
        <f>IF(BH31&gt;=9,"Xuất sắc",IF(BH31&gt;=8,"Giỏi",IF(BH31&gt;=7,"Khá",IF(BH31&gt;=6,"Trung bình - Khá",IF(BH31&gt;=5,"Trung bình","Không đạt")))))</f>
        <v/>
      </c>
      <c r="BJ31" s="684">
        <f>IF(AND(ISNUMBER(BH31), BH31&gt;=5), "x", "")</f>
        <v/>
      </c>
    </row>
    <row r="32" ht="15.4" customHeight="1" s="393">
      <c r="A32" s="610">
        <f>IF('Thông tin HV'!A32="","",'Thông tin HV'!A32)</f>
        <v/>
      </c>
      <c r="B32" s="611">
        <f>IF('Thông tin HV'!B32="","",'Thông tin HV'!B32)</f>
        <v/>
      </c>
      <c r="C32" s="612">
        <f>IF('Thông tin HV'!C32="","",'Thông tin HV'!C32)</f>
        <v/>
      </c>
      <c r="D32" s="612" t="n"/>
      <c r="E32" s="612" t="n"/>
      <c r="F32" s="701" t="n">
        <v>6</v>
      </c>
      <c r="G32" s="701" t="n"/>
      <c r="H32" s="701" t="n">
        <v>7</v>
      </c>
      <c r="I32" s="701" t="n"/>
      <c r="J32" s="702">
        <f>ROUND((AVERAGE(F32:G32)*2+AVERAGE(H32:I32))/3,1)</f>
        <v/>
      </c>
      <c r="K32" s="701" t="n">
        <v>7</v>
      </c>
      <c r="L32" s="702">
        <f>ROUND((J32*2+K32*3)/5,1)</f>
        <v/>
      </c>
      <c r="M32" s="701" t="n"/>
      <c r="N32" s="701" t="n"/>
      <c r="O32" s="701" t="n"/>
      <c r="P32" s="701" t="n"/>
      <c r="Q32" s="702">
        <f>IFERROR(ROUND((AVERAGE(M32:N32)*2+AVERAGE(O32:P32))/3,1),"")</f>
        <v/>
      </c>
      <c r="R32" s="701" t="n"/>
      <c r="S32" s="702">
        <f>IFERROR(ROUND((Q32*2+R32*3)/5,1),"")</f>
        <v/>
      </c>
      <c r="T32" s="703" t="n">
        <v>7</v>
      </c>
      <c r="U32" s="703" t="n">
        <v>7</v>
      </c>
      <c r="V32" s="702">
        <f>ROUND(AVERAGE(T32:U32),1)</f>
        <v/>
      </c>
      <c r="W32" s="702">
        <f>ROUND((AVERAGE(L32,S32)+V32*2)/3,1)</f>
        <v/>
      </c>
      <c r="X32" s="701" t="n">
        <v>6</v>
      </c>
      <c r="Y32" s="701" t="n"/>
      <c r="Z32" s="701" t="n">
        <v>7</v>
      </c>
      <c r="AA32" s="701" t="n"/>
      <c r="AB32" s="702">
        <f>ROUND((AVERAGE(X32:Y32)*2+AVERAGE(Z32:AA32))/3,1)</f>
        <v/>
      </c>
      <c r="AC32" s="701" t="n">
        <v>7</v>
      </c>
      <c r="AD32" s="702">
        <f>ROUND((AB32*2+AC32*3)/5,1)</f>
        <v/>
      </c>
      <c r="AE32" s="701" t="n"/>
      <c r="AF32" s="701" t="n"/>
      <c r="AG32" s="701" t="n"/>
      <c r="AH32" s="701" t="n"/>
      <c r="AI32" s="702">
        <f>IFERROR(ROUND((AVERAGE(AE32:AF32)*2+AVERAGE(AG32:AH32))/3,1),"")</f>
        <v/>
      </c>
      <c r="AJ32" s="701" t="n"/>
      <c r="AK32" s="702">
        <f>IFERROR(ROUND((AI32*2+AJ32*3)/5,1),"")</f>
        <v/>
      </c>
      <c r="AL32" s="703" t="n">
        <v>7</v>
      </c>
      <c r="AM32" s="703" t="n">
        <v>7</v>
      </c>
      <c r="AN32" s="702">
        <f>ROUND(AVERAGE(AL32:AM32),1)</f>
        <v/>
      </c>
      <c r="AO32" s="702">
        <f>ROUND((AVERAGE(AD32,AK32)+AN32*2)/3,1)</f>
        <v/>
      </c>
      <c r="AP32" s="701" t="n">
        <v>6</v>
      </c>
      <c r="AQ32" s="701" t="n"/>
      <c r="AR32" s="701" t="n">
        <v>7</v>
      </c>
      <c r="AS32" s="701" t="n"/>
      <c r="AT32" s="702">
        <f>ROUND((AVERAGE(AP32:AQ32)*2+AVERAGE(AR32:AS32))/3,1)</f>
        <v/>
      </c>
      <c r="AU32" s="701" t="n">
        <v>7</v>
      </c>
      <c r="AV32" s="702">
        <f>ROUND((AT32*2+AU32*3)/5,1)</f>
        <v/>
      </c>
      <c r="AW32" s="701" t="n"/>
      <c r="AX32" s="701" t="n"/>
      <c r="AY32" s="701" t="n"/>
      <c r="AZ32" s="701" t="n"/>
      <c r="BA32" s="702">
        <f>IFERROR(ROUND((AVERAGE(AW32:AX32)*2+AVERAGE(AY32:AZ32))/3,1),"")</f>
        <v/>
      </c>
      <c r="BB32" s="701" t="n"/>
      <c r="BC32" s="702">
        <f>IFERROR(ROUND((BA32*2+BB32*3)/5,1),"")</f>
        <v/>
      </c>
      <c r="BD32" s="703" t="n">
        <v>7</v>
      </c>
      <c r="BE32" s="703" t="n">
        <v>7</v>
      </c>
      <c r="BF32" s="702">
        <f>ROUND(AVERAGE(BD32:BE32),1)</f>
        <v/>
      </c>
      <c r="BG32" s="702">
        <f>ROUND((AVERAGE(AV32,BC32)+BF32*2)/3,1)</f>
        <v/>
      </c>
      <c r="BH32" s="704">
        <f>IFERROR(ROUND(AVERAGE(BG32,AO32,W32),1),"")</f>
        <v/>
      </c>
      <c r="BI32" s="704">
        <f>IF(BH32&gt;=9,"Xuất sắc",IF(BH32&gt;=8,"Giỏi",IF(BH32&gt;=7,"Khá",IF(BH32&gt;=6,"Trung bình - Khá",IF(BH32&gt;=5,"Trung bình","Không đạt")))))</f>
        <v/>
      </c>
      <c r="BJ32" s="684">
        <f>IF(AND(ISNUMBER(BH32), BH32&gt;=5), "x", "")</f>
        <v/>
      </c>
    </row>
    <row r="33" ht="15.4" customHeight="1" s="393">
      <c r="A33" s="610">
        <f>IF('Thông tin HV'!A33="","",'Thông tin HV'!A33)</f>
        <v/>
      </c>
      <c r="B33" s="611">
        <f>IF('Thông tin HV'!B33="","",'Thông tin HV'!B33)</f>
        <v/>
      </c>
      <c r="C33" s="612">
        <f>IF('Thông tin HV'!C33="","",'Thông tin HV'!C33)</f>
        <v/>
      </c>
      <c r="D33" s="612" t="n"/>
      <c r="E33" s="612" t="n"/>
      <c r="F33" s="701" t="n">
        <v>6</v>
      </c>
      <c r="G33" s="701" t="n"/>
      <c r="H33" s="701" t="n">
        <v>7</v>
      </c>
      <c r="I33" s="701" t="n"/>
      <c r="J33" s="702">
        <f>ROUND((AVERAGE(F33:G33)*2+AVERAGE(H33:I33))/3,1)</f>
        <v/>
      </c>
      <c r="K33" s="701" t="n">
        <v>6</v>
      </c>
      <c r="L33" s="702">
        <f>ROUND((J33*2+K33*3)/5,1)</f>
        <v/>
      </c>
      <c r="M33" s="701" t="n"/>
      <c r="N33" s="701" t="n"/>
      <c r="O33" s="701" t="n"/>
      <c r="P33" s="701" t="n"/>
      <c r="Q33" s="702">
        <f>IFERROR(ROUND((AVERAGE(M33:N33)*2+AVERAGE(O33:P33))/3,1),"")</f>
        <v/>
      </c>
      <c r="R33" s="701" t="n"/>
      <c r="S33" s="702">
        <f>IFERROR(ROUND((Q33*2+R33*3)/5,1),"")</f>
        <v/>
      </c>
      <c r="T33" s="703" t="n">
        <v>6</v>
      </c>
      <c r="U33" s="703" t="n">
        <v>6</v>
      </c>
      <c r="V33" s="702">
        <f>ROUND(AVERAGE(T33:U33),1)</f>
        <v/>
      </c>
      <c r="W33" s="702">
        <f>ROUND((AVERAGE(L33,S33)+V33*2)/3,1)</f>
        <v/>
      </c>
      <c r="X33" s="701" t="n">
        <v>6</v>
      </c>
      <c r="Y33" s="701" t="n"/>
      <c r="Z33" s="701" t="n">
        <v>7</v>
      </c>
      <c r="AA33" s="701" t="n"/>
      <c r="AB33" s="702">
        <f>ROUND((AVERAGE(X33:Y33)*2+AVERAGE(Z33:AA33))/3,1)</f>
        <v/>
      </c>
      <c r="AC33" s="701" t="n">
        <v>6</v>
      </c>
      <c r="AD33" s="702">
        <f>ROUND((AB33*2+AC33*3)/5,1)</f>
        <v/>
      </c>
      <c r="AE33" s="701" t="n"/>
      <c r="AF33" s="701" t="n"/>
      <c r="AG33" s="701" t="n"/>
      <c r="AH33" s="701" t="n"/>
      <c r="AI33" s="702">
        <f>IFERROR(ROUND((AVERAGE(AE33:AF33)*2+AVERAGE(AG33:AH33))/3,1),"")</f>
        <v/>
      </c>
      <c r="AJ33" s="701" t="n"/>
      <c r="AK33" s="702">
        <f>IFERROR(ROUND((AI33*2+AJ33*3)/5,1),"")</f>
        <v/>
      </c>
      <c r="AL33" s="703" t="n">
        <v>6</v>
      </c>
      <c r="AM33" s="703" t="n">
        <v>6</v>
      </c>
      <c r="AN33" s="702">
        <f>ROUND(AVERAGE(AL33:AM33),1)</f>
        <v/>
      </c>
      <c r="AO33" s="702">
        <f>ROUND((AVERAGE(AD33,AK33)+AN33*2)/3,1)</f>
        <v/>
      </c>
      <c r="AP33" s="701" t="n">
        <v>6</v>
      </c>
      <c r="AQ33" s="701" t="n"/>
      <c r="AR33" s="701" t="n">
        <v>7</v>
      </c>
      <c r="AS33" s="701" t="n"/>
      <c r="AT33" s="702">
        <f>ROUND((AVERAGE(AP33:AQ33)*2+AVERAGE(AR33:AS33))/3,1)</f>
        <v/>
      </c>
      <c r="AU33" s="701" t="n">
        <v>6</v>
      </c>
      <c r="AV33" s="702">
        <f>ROUND((AT33*2+AU33*3)/5,1)</f>
        <v/>
      </c>
      <c r="AW33" s="701" t="n"/>
      <c r="AX33" s="701" t="n"/>
      <c r="AY33" s="701" t="n"/>
      <c r="AZ33" s="701" t="n"/>
      <c r="BA33" s="702">
        <f>IFERROR(ROUND((AVERAGE(AW33:AX33)*2+AVERAGE(AY33:AZ33))/3,1),"")</f>
        <v/>
      </c>
      <c r="BB33" s="701" t="n"/>
      <c r="BC33" s="702">
        <f>IFERROR(ROUND((BA33*2+BB33*3)/5,1),"")</f>
        <v/>
      </c>
      <c r="BD33" s="703" t="n">
        <v>6</v>
      </c>
      <c r="BE33" s="703" t="n">
        <v>6</v>
      </c>
      <c r="BF33" s="702">
        <f>ROUND(AVERAGE(BD33:BE33),1)</f>
        <v/>
      </c>
      <c r="BG33" s="702">
        <f>ROUND((AVERAGE(AV33,BC33)+BF33*2)/3,1)</f>
        <v/>
      </c>
      <c r="BH33" s="704">
        <f>IFERROR(ROUND(AVERAGE(BG33,AO33,W33),1),"")</f>
        <v/>
      </c>
      <c r="BI33" s="704">
        <f>IF(BH33&gt;=9,"Xuất sắc",IF(BH33&gt;=8,"Giỏi",IF(BH33&gt;=7,"Khá",IF(BH33&gt;=6,"Trung bình - Khá",IF(BH33&gt;=5,"Trung bình","Không đạt")))))</f>
        <v/>
      </c>
      <c r="BJ33" s="684">
        <f>IF(AND(ISNUMBER(BH33), BH33&gt;=5), "x", "")</f>
        <v/>
      </c>
    </row>
    <row r="34" ht="15.4" customHeight="1" s="393">
      <c r="A34" s="610">
        <f>IF('Thông tin HV'!A34="","",'Thông tin HV'!A34)</f>
        <v/>
      </c>
      <c r="B34" s="611">
        <f>IF('Thông tin HV'!B34="","",'Thông tin HV'!B34)</f>
        <v/>
      </c>
      <c r="C34" s="612">
        <f>IF('Thông tin HV'!C34="","",'Thông tin HV'!C34)</f>
        <v/>
      </c>
      <c r="D34" s="612" t="n"/>
      <c r="E34" s="612" t="n"/>
      <c r="F34" s="701" t="n">
        <v>6</v>
      </c>
      <c r="G34" s="701" t="n"/>
      <c r="H34" s="701" t="n">
        <v>7</v>
      </c>
      <c r="I34" s="701" t="n"/>
      <c r="J34" s="702">
        <f>ROUND((AVERAGE(F34:G34)*2+AVERAGE(H34:I34))/3,1)</f>
        <v/>
      </c>
      <c r="K34" s="701" t="n">
        <v>6</v>
      </c>
      <c r="L34" s="702">
        <f>ROUND((J34*2+K34*3)/5,1)</f>
        <v/>
      </c>
      <c r="M34" s="701" t="n"/>
      <c r="N34" s="701" t="n"/>
      <c r="O34" s="701" t="n"/>
      <c r="P34" s="701" t="n"/>
      <c r="Q34" s="702">
        <f>IFERROR(ROUND((AVERAGE(M34:N34)*2+AVERAGE(O34:P34))/3,1),"")</f>
        <v/>
      </c>
      <c r="R34" s="701" t="n"/>
      <c r="S34" s="702">
        <f>IFERROR(ROUND((Q34*2+R34*3)/5,1),"")</f>
        <v/>
      </c>
      <c r="T34" s="701" t="n">
        <v>6</v>
      </c>
      <c r="U34" s="701" t="n">
        <v>6</v>
      </c>
      <c r="V34" s="702">
        <f>ROUND(AVERAGE(T34:U34),1)</f>
        <v/>
      </c>
      <c r="W34" s="702">
        <f>ROUND((AVERAGE(L34,S34)+V34*2)/3,1)</f>
        <v/>
      </c>
      <c r="X34" s="701" t="n">
        <v>6</v>
      </c>
      <c r="Y34" s="701" t="n"/>
      <c r="Z34" s="701" t="n">
        <v>7</v>
      </c>
      <c r="AA34" s="701" t="n"/>
      <c r="AB34" s="702">
        <f>ROUND((AVERAGE(X34:Y34)*2+AVERAGE(Z34:AA34))/3,1)</f>
        <v/>
      </c>
      <c r="AC34" s="701" t="n">
        <v>6</v>
      </c>
      <c r="AD34" s="702">
        <f>ROUND((AB34*2+AC34*3)/5,1)</f>
        <v/>
      </c>
      <c r="AE34" s="701" t="n"/>
      <c r="AF34" s="701" t="n"/>
      <c r="AG34" s="701" t="n"/>
      <c r="AH34" s="701" t="n"/>
      <c r="AI34" s="702">
        <f>IFERROR(ROUND((AVERAGE(AE34:AF34)*2+AVERAGE(AG34:AH34))/3,1),"")</f>
        <v/>
      </c>
      <c r="AJ34" s="701" t="n"/>
      <c r="AK34" s="702">
        <f>IFERROR(ROUND((AI34*2+AJ34*3)/5,1),"")</f>
        <v/>
      </c>
      <c r="AL34" s="701" t="n">
        <v>6</v>
      </c>
      <c r="AM34" s="701" t="n">
        <v>6</v>
      </c>
      <c r="AN34" s="702">
        <f>ROUND(AVERAGE(AL34:AM34),1)</f>
        <v/>
      </c>
      <c r="AO34" s="702">
        <f>ROUND((AVERAGE(AD34,AK34)+AN34*2)/3,1)</f>
        <v/>
      </c>
      <c r="AP34" s="701" t="n">
        <v>6</v>
      </c>
      <c r="AQ34" s="701" t="n"/>
      <c r="AR34" s="701" t="n">
        <v>7</v>
      </c>
      <c r="AS34" s="701" t="n"/>
      <c r="AT34" s="702">
        <f>ROUND((AVERAGE(AP34:AQ34)*2+AVERAGE(AR34:AS34))/3,1)</f>
        <v/>
      </c>
      <c r="AU34" s="701" t="n">
        <v>6</v>
      </c>
      <c r="AV34" s="702">
        <f>ROUND((AT34*2+AU34*3)/5,1)</f>
        <v/>
      </c>
      <c r="AW34" s="701" t="n"/>
      <c r="AX34" s="701" t="n"/>
      <c r="AY34" s="701" t="n"/>
      <c r="AZ34" s="701" t="n"/>
      <c r="BA34" s="702">
        <f>IFERROR(ROUND((AVERAGE(AW34:AX34)*2+AVERAGE(AY34:AZ34))/3,1),"")</f>
        <v/>
      </c>
      <c r="BB34" s="701" t="n"/>
      <c r="BC34" s="702">
        <f>IFERROR(ROUND((BA34*2+BB34*3)/5,1),"")</f>
        <v/>
      </c>
      <c r="BD34" s="701" t="n">
        <v>6</v>
      </c>
      <c r="BE34" s="701" t="n">
        <v>6</v>
      </c>
      <c r="BF34" s="702">
        <f>ROUND(AVERAGE(BD34:BE34),1)</f>
        <v/>
      </c>
      <c r="BG34" s="702">
        <f>ROUND((AVERAGE(AV34,BC34)+BF34*2)/3,1)</f>
        <v/>
      </c>
      <c r="BH34" s="704">
        <f>IFERROR(ROUND(AVERAGE(BG34,AO34,W34),1),"")</f>
        <v/>
      </c>
      <c r="BI34" s="704">
        <f>IF(BH34&gt;=9,"Xuất sắc",IF(BH34&gt;=8,"Giỏi",IF(BH34&gt;=7,"Khá",IF(BH34&gt;=6,"Trung bình - Khá",IF(BH34&gt;=5,"Trung bình","Không đạt")))))</f>
        <v/>
      </c>
      <c r="BJ34" s="684">
        <f>IF(AND(ISNUMBER(BH34), BH34&gt;=5), "x", "")</f>
        <v/>
      </c>
    </row>
    <row r="35" ht="15.4" customHeight="1" s="393">
      <c r="A35" s="610">
        <f>IF('Thông tin HV'!A35="","",'Thông tin HV'!A35)</f>
        <v/>
      </c>
      <c r="B35" s="611">
        <f>IF('Thông tin HV'!B35="","",'Thông tin HV'!B35)</f>
        <v/>
      </c>
      <c r="C35" s="612">
        <f>IF('Thông tin HV'!C35="","",'Thông tin HV'!C35)</f>
        <v/>
      </c>
      <c r="D35" s="612" t="n"/>
      <c r="E35" s="612" t="n"/>
      <c r="F35" s="701" t="n">
        <v>6</v>
      </c>
      <c r="G35" s="701" t="n"/>
      <c r="H35" s="701" t="n">
        <v>7</v>
      </c>
      <c r="I35" s="701" t="n"/>
      <c r="J35" s="702">
        <f>ROUND((AVERAGE(F35:G35)*2+AVERAGE(H35:I35))/3,1)</f>
        <v/>
      </c>
      <c r="K35" s="701" t="n">
        <v>6</v>
      </c>
      <c r="L35" s="702">
        <f>ROUND((J35*2+K35*3)/5,1)</f>
        <v/>
      </c>
      <c r="M35" s="701" t="n"/>
      <c r="N35" s="701" t="n"/>
      <c r="O35" s="701" t="n"/>
      <c r="P35" s="701" t="n"/>
      <c r="Q35" s="702">
        <f>IFERROR(ROUND((AVERAGE(M35:N35)*2+AVERAGE(O35:P35))/3,1),"")</f>
        <v/>
      </c>
      <c r="R35" s="701" t="n"/>
      <c r="S35" s="702">
        <f>IFERROR(ROUND((Q35*2+R35*3)/5,1),"")</f>
        <v/>
      </c>
      <c r="T35" s="701" t="n">
        <v>6</v>
      </c>
      <c r="U35" s="701" t="n">
        <v>6</v>
      </c>
      <c r="V35" s="702">
        <f>ROUND(AVERAGE(T35:U35),1)</f>
        <v/>
      </c>
      <c r="W35" s="702">
        <f>ROUND((AVERAGE(L35,S35)+V35*2)/3,1)</f>
        <v/>
      </c>
      <c r="X35" s="701" t="n">
        <v>6</v>
      </c>
      <c r="Y35" s="701" t="n"/>
      <c r="Z35" s="701" t="n">
        <v>7</v>
      </c>
      <c r="AA35" s="701" t="n"/>
      <c r="AB35" s="702">
        <f>ROUND((AVERAGE(X35:Y35)*2+AVERAGE(Z35:AA35))/3,1)</f>
        <v/>
      </c>
      <c r="AC35" s="701" t="n">
        <v>6</v>
      </c>
      <c r="AD35" s="702">
        <f>ROUND((AB35*2+AC35*3)/5,1)</f>
        <v/>
      </c>
      <c r="AE35" s="701" t="n"/>
      <c r="AF35" s="701" t="n"/>
      <c r="AG35" s="701" t="n"/>
      <c r="AH35" s="701" t="n"/>
      <c r="AI35" s="702">
        <f>IFERROR(ROUND((AVERAGE(AE35:AF35)*2+AVERAGE(AG35:AH35))/3,1),"")</f>
        <v/>
      </c>
      <c r="AJ35" s="701" t="n"/>
      <c r="AK35" s="702">
        <f>IFERROR(ROUND((AI35*2+AJ35*3)/5,1),"")</f>
        <v/>
      </c>
      <c r="AL35" s="701" t="n">
        <v>6</v>
      </c>
      <c r="AM35" s="701" t="n">
        <v>6</v>
      </c>
      <c r="AN35" s="702">
        <f>ROUND(AVERAGE(AL35:AM35),1)</f>
        <v/>
      </c>
      <c r="AO35" s="702">
        <f>ROUND((AVERAGE(AD35,AK35)+AN35*2)/3,1)</f>
        <v/>
      </c>
      <c r="AP35" s="701" t="n">
        <v>6</v>
      </c>
      <c r="AQ35" s="701" t="n"/>
      <c r="AR35" s="701" t="n">
        <v>7</v>
      </c>
      <c r="AS35" s="701" t="n"/>
      <c r="AT35" s="702">
        <f>ROUND((AVERAGE(AP35:AQ35)*2+AVERAGE(AR35:AS35))/3,1)</f>
        <v/>
      </c>
      <c r="AU35" s="701" t="n">
        <v>6</v>
      </c>
      <c r="AV35" s="702">
        <f>ROUND((AT35*2+AU35*3)/5,1)</f>
        <v/>
      </c>
      <c r="AW35" s="701" t="n"/>
      <c r="AX35" s="701" t="n"/>
      <c r="AY35" s="701" t="n"/>
      <c r="AZ35" s="701" t="n"/>
      <c r="BA35" s="702">
        <f>IFERROR(ROUND((AVERAGE(AW35:AX35)*2+AVERAGE(AY35:AZ35))/3,1),"")</f>
        <v/>
      </c>
      <c r="BB35" s="701" t="n"/>
      <c r="BC35" s="702">
        <f>IFERROR(ROUND((BA35*2+BB35*3)/5,1),"")</f>
        <v/>
      </c>
      <c r="BD35" s="701" t="n">
        <v>6</v>
      </c>
      <c r="BE35" s="701" t="n">
        <v>6</v>
      </c>
      <c r="BF35" s="702">
        <f>ROUND(AVERAGE(BD35:BE35),1)</f>
        <v/>
      </c>
      <c r="BG35" s="702">
        <f>ROUND((AVERAGE(AV35,BC35)+BF35*2)/3,1)</f>
        <v/>
      </c>
      <c r="BH35" s="704">
        <f>IFERROR(ROUND(AVERAGE(BG35,AO35,W35),1),"")</f>
        <v/>
      </c>
      <c r="BI35" s="704">
        <f>IF(BH35&gt;=9,"Xuất sắc",IF(BH35&gt;=8,"Giỏi",IF(BH35&gt;=7,"Khá",IF(BH35&gt;=6,"Trung bình - Khá",IF(BH35&gt;=5,"Trung bình","Không đạt")))))</f>
        <v/>
      </c>
      <c r="BJ35" s="684">
        <f>IF(AND(ISNUMBER(BH35), BH35&gt;=5), "x", "")</f>
        <v/>
      </c>
    </row>
    <row r="36" ht="15.4" customHeight="1" s="393">
      <c r="A36" s="610">
        <f>IF('Thông tin HV'!A36="","",'Thông tin HV'!A36)</f>
        <v/>
      </c>
      <c r="B36" s="611">
        <f>IF('Thông tin HV'!B36="","",'Thông tin HV'!B36)</f>
        <v/>
      </c>
      <c r="C36" s="612">
        <f>IF('Thông tin HV'!C36="","",'Thông tin HV'!C36)</f>
        <v/>
      </c>
      <c r="D36" s="612" t="n"/>
      <c r="E36" s="612" t="n"/>
      <c r="F36" s="701" t="n">
        <v>6</v>
      </c>
      <c r="G36" s="701" t="n"/>
      <c r="H36" s="701" t="n">
        <v>7</v>
      </c>
      <c r="I36" s="701" t="n"/>
      <c r="J36" s="702">
        <f>ROUND((AVERAGE(F36:G36)*2+AVERAGE(H36:I36))/3,1)</f>
        <v/>
      </c>
      <c r="K36" s="701" t="n">
        <v>6</v>
      </c>
      <c r="L36" s="702">
        <f>ROUND((J36*2+K36*3)/5,1)</f>
        <v/>
      </c>
      <c r="M36" s="701" t="n"/>
      <c r="N36" s="701" t="n"/>
      <c r="O36" s="701" t="n"/>
      <c r="P36" s="701" t="n"/>
      <c r="Q36" s="702">
        <f>IFERROR(ROUND((AVERAGE(M36:N36)*2+AVERAGE(O36:P36))/3,1),"")</f>
        <v/>
      </c>
      <c r="R36" s="701" t="n"/>
      <c r="S36" s="702">
        <f>IFERROR(ROUND((Q36*2+R36*3)/5,1),"")</f>
        <v/>
      </c>
      <c r="T36" s="701" t="n">
        <v>6</v>
      </c>
      <c r="U36" s="701" t="n">
        <v>6</v>
      </c>
      <c r="V36" s="702">
        <f>ROUND(AVERAGE(T36:U36),1)</f>
        <v/>
      </c>
      <c r="W36" s="702">
        <f>ROUND((AVERAGE(L36,S36)+V36*2)/3,1)</f>
        <v/>
      </c>
      <c r="X36" s="701" t="n">
        <v>6</v>
      </c>
      <c r="Y36" s="701" t="n"/>
      <c r="Z36" s="701" t="n">
        <v>7</v>
      </c>
      <c r="AA36" s="701" t="n"/>
      <c r="AB36" s="702">
        <f>ROUND((AVERAGE(X36:Y36)*2+AVERAGE(Z36:AA36))/3,1)</f>
        <v/>
      </c>
      <c r="AC36" s="701" t="n">
        <v>6</v>
      </c>
      <c r="AD36" s="702">
        <f>ROUND((AB36*2+AC36*3)/5,1)</f>
        <v/>
      </c>
      <c r="AE36" s="701" t="n"/>
      <c r="AF36" s="701" t="n"/>
      <c r="AG36" s="701" t="n"/>
      <c r="AH36" s="701" t="n"/>
      <c r="AI36" s="702">
        <f>IFERROR(ROUND((AVERAGE(AE36:AF36)*2+AVERAGE(AG36:AH36))/3,1),"")</f>
        <v/>
      </c>
      <c r="AJ36" s="701" t="n"/>
      <c r="AK36" s="702">
        <f>IFERROR(ROUND((AI36*2+AJ36*3)/5,1),"")</f>
        <v/>
      </c>
      <c r="AL36" s="701" t="n">
        <v>6</v>
      </c>
      <c r="AM36" s="701" t="n">
        <v>6</v>
      </c>
      <c r="AN36" s="702">
        <f>ROUND(AVERAGE(AL36:AM36),1)</f>
        <v/>
      </c>
      <c r="AO36" s="702">
        <f>ROUND((AVERAGE(AD36,AK36)+AN36*2)/3,1)</f>
        <v/>
      </c>
      <c r="AP36" s="701" t="n">
        <v>6</v>
      </c>
      <c r="AQ36" s="701" t="n"/>
      <c r="AR36" s="701" t="n">
        <v>7</v>
      </c>
      <c r="AS36" s="701" t="n"/>
      <c r="AT36" s="702">
        <f>ROUND((AVERAGE(AP36:AQ36)*2+AVERAGE(AR36:AS36))/3,1)</f>
        <v/>
      </c>
      <c r="AU36" s="701" t="n">
        <v>6</v>
      </c>
      <c r="AV36" s="702">
        <f>ROUND((AT36*2+AU36*3)/5,1)</f>
        <v/>
      </c>
      <c r="AW36" s="701" t="n"/>
      <c r="AX36" s="701" t="n"/>
      <c r="AY36" s="701" t="n"/>
      <c r="AZ36" s="701" t="n"/>
      <c r="BA36" s="702">
        <f>IFERROR(ROUND((AVERAGE(AW36:AX36)*2+AVERAGE(AY36:AZ36))/3,1),"")</f>
        <v/>
      </c>
      <c r="BB36" s="701" t="n"/>
      <c r="BC36" s="702">
        <f>IFERROR(ROUND((BA36*2+BB36*3)/5,1),"")</f>
        <v/>
      </c>
      <c r="BD36" s="701" t="n">
        <v>6</v>
      </c>
      <c r="BE36" s="701" t="n">
        <v>6</v>
      </c>
      <c r="BF36" s="702">
        <f>ROUND(AVERAGE(BD36:BE36),1)</f>
        <v/>
      </c>
      <c r="BG36" s="702">
        <f>ROUND((AVERAGE(AV36,BC36)+BF36*2)/3,1)</f>
        <v/>
      </c>
      <c r="BH36" s="704">
        <f>IFERROR(ROUND(AVERAGE(BG36,AO36,W36),1),"")</f>
        <v/>
      </c>
      <c r="BI36" s="704">
        <f>IF(BH36&gt;=9,"Xuất sắc",IF(BH36&gt;=8,"Giỏi",IF(BH36&gt;=7,"Khá",IF(BH36&gt;=6,"Trung bình - Khá",IF(BH36&gt;=5,"Trung bình","Không đạt")))))</f>
        <v/>
      </c>
      <c r="BJ36" s="684">
        <f>IF(AND(ISNUMBER(BH36), BH36&gt;=5), "x", "")</f>
        <v/>
      </c>
    </row>
    <row r="37" ht="15.4" customHeight="1" s="393">
      <c r="A37" s="610">
        <f>IF('Thông tin HV'!A37="","",'Thông tin HV'!A37)</f>
        <v/>
      </c>
      <c r="B37" s="611">
        <f>IF('Thông tin HV'!B37="","",'Thông tin HV'!B37)</f>
        <v/>
      </c>
      <c r="C37" s="612">
        <f>IF('Thông tin HV'!C37="","",'Thông tin HV'!C37)</f>
        <v/>
      </c>
      <c r="D37" s="612" t="n"/>
      <c r="E37" s="612" t="n"/>
      <c r="F37" s="701" t="n">
        <v>6</v>
      </c>
      <c r="G37" s="701" t="n"/>
      <c r="H37" s="701" t="n">
        <v>7</v>
      </c>
      <c r="I37" s="701" t="n"/>
      <c r="J37" s="702">
        <f>ROUND((AVERAGE(F37:G37)*2+AVERAGE(H37:I37))/3,1)</f>
        <v/>
      </c>
      <c r="K37" s="701" t="n">
        <v>6</v>
      </c>
      <c r="L37" s="702">
        <f>ROUND((J37*2+K37*3)/5,1)</f>
        <v/>
      </c>
      <c r="M37" s="701" t="n"/>
      <c r="N37" s="701" t="n"/>
      <c r="O37" s="701" t="n"/>
      <c r="P37" s="701" t="n"/>
      <c r="Q37" s="702">
        <f>IFERROR(ROUND((AVERAGE(M37:N37)*2+AVERAGE(O37:P37))/3,1),"")</f>
        <v/>
      </c>
      <c r="R37" s="701" t="n"/>
      <c r="S37" s="702">
        <f>IFERROR(ROUND((Q37*2+R37*3)/5,1),"")</f>
        <v/>
      </c>
      <c r="T37" s="701" t="n">
        <v>6</v>
      </c>
      <c r="U37" s="701" t="n">
        <v>6</v>
      </c>
      <c r="V37" s="702">
        <f>ROUND(AVERAGE(T37:U37),1)</f>
        <v/>
      </c>
      <c r="W37" s="702">
        <f>ROUND((AVERAGE(L37,S37)+V37*2)/3,1)</f>
        <v/>
      </c>
      <c r="X37" s="701" t="n">
        <v>6</v>
      </c>
      <c r="Y37" s="701" t="n"/>
      <c r="Z37" s="701" t="n">
        <v>7</v>
      </c>
      <c r="AA37" s="701" t="n"/>
      <c r="AB37" s="702">
        <f>ROUND((AVERAGE(X37:Y37)*2+AVERAGE(Z37:AA37))/3,1)</f>
        <v/>
      </c>
      <c r="AC37" s="701" t="n">
        <v>6</v>
      </c>
      <c r="AD37" s="702">
        <f>ROUND((AB37*2+AC37*3)/5,1)</f>
        <v/>
      </c>
      <c r="AE37" s="701" t="n"/>
      <c r="AF37" s="701" t="n"/>
      <c r="AG37" s="701" t="n"/>
      <c r="AH37" s="701" t="n"/>
      <c r="AI37" s="702">
        <f>IFERROR(ROUND((AVERAGE(AE37:AF37)*2+AVERAGE(AG37:AH37))/3,1),"")</f>
        <v/>
      </c>
      <c r="AJ37" s="701" t="n"/>
      <c r="AK37" s="702">
        <f>IFERROR(ROUND((AI37*2+AJ37*3)/5,1),"")</f>
        <v/>
      </c>
      <c r="AL37" s="701" t="n">
        <v>6</v>
      </c>
      <c r="AM37" s="701" t="n">
        <v>6</v>
      </c>
      <c r="AN37" s="702">
        <f>ROUND(AVERAGE(AL37:AM37),1)</f>
        <v/>
      </c>
      <c r="AO37" s="702">
        <f>ROUND((AVERAGE(AD37,AK37)+AN37*2)/3,1)</f>
        <v/>
      </c>
      <c r="AP37" s="701" t="n">
        <v>6</v>
      </c>
      <c r="AQ37" s="701" t="n"/>
      <c r="AR37" s="701" t="n">
        <v>7</v>
      </c>
      <c r="AS37" s="701" t="n"/>
      <c r="AT37" s="702">
        <f>ROUND((AVERAGE(AP37:AQ37)*2+AVERAGE(AR37:AS37))/3,1)</f>
        <v/>
      </c>
      <c r="AU37" s="701" t="n">
        <v>6</v>
      </c>
      <c r="AV37" s="702">
        <f>ROUND((AT37*2+AU37*3)/5,1)</f>
        <v/>
      </c>
      <c r="AW37" s="701" t="n"/>
      <c r="AX37" s="701" t="n"/>
      <c r="AY37" s="701" t="n"/>
      <c r="AZ37" s="701" t="n"/>
      <c r="BA37" s="702">
        <f>IFERROR(ROUND((AVERAGE(AW37:AX37)*2+AVERAGE(AY37:AZ37))/3,1),"")</f>
        <v/>
      </c>
      <c r="BB37" s="701" t="n"/>
      <c r="BC37" s="702">
        <f>IFERROR(ROUND((BA37*2+BB37*3)/5,1),"")</f>
        <v/>
      </c>
      <c r="BD37" s="701" t="n">
        <v>6</v>
      </c>
      <c r="BE37" s="701" t="n">
        <v>6</v>
      </c>
      <c r="BF37" s="702">
        <f>ROUND(AVERAGE(BD37:BE37),1)</f>
        <v/>
      </c>
      <c r="BG37" s="702">
        <f>ROUND((AVERAGE(AV37,BC37)+BF37*2)/3,1)</f>
        <v/>
      </c>
      <c r="BH37" s="704">
        <f>IFERROR(ROUND(AVERAGE(BG37,AO37,W37),1),"")</f>
        <v/>
      </c>
      <c r="BI37" s="704">
        <f>IF(BH37&gt;=9,"Xuất sắc",IF(BH37&gt;=8,"Giỏi",IF(BH37&gt;=7,"Khá",IF(BH37&gt;=6,"Trung bình - Khá",IF(BH37&gt;=5,"Trung bình","Không đạt")))))</f>
        <v/>
      </c>
      <c r="BJ37" s="684">
        <f>IF(AND(ISNUMBER(BH37), BH37&gt;=5), "x", "")</f>
        <v/>
      </c>
    </row>
    <row r="38" ht="15.4" customHeight="1" s="393">
      <c r="A38" s="610">
        <f>IF('Thông tin HV'!A38="","",'Thông tin HV'!A38)</f>
        <v/>
      </c>
      <c r="B38" s="611">
        <f>IF('Thông tin HV'!B38="","",'Thông tin HV'!B38)</f>
        <v/>
      </c>
      <c r="C38" s="612">
        <f>IF('Thông tin HV'!C38="","",'Thông tin HV'!C38)</f>
        <v/>
      </c>
      <c r="D38" s="612" t="n"/>
      <c r="E38" s="612" t="n"/>
      <c r="F38" s="701" t="n">
        <v>6</v>
      </c>
      <c r="G38" s="701" t="n"/>
      <c r="H38" s="701" t="n">
        <v>7</v>
      </c>
      <c r="I38" s="701" t="n"/>
      <c r="J38" s="702">
        <f>ROUND((AVERAGE(F38:G38)*2+AVERAGE(H38:I38))/3,1)</f>
        <v/>
      </c>
      <c r="K38" s="701" t="n">
        <v>6</v>
      </c>
      <c r="L38" s="702">
        <f>ROUND((J38*2+K38*3)/5,1)</f>
        <v/>
      </c>
      <c r="M38" s="701" t="n"/>
      <c r="N38" s="701" t="n"/>
      <c r="O38" s="701" t="n"/>
      <c r="P38" s="701" t="n"/>
      <c r="Q38" s="702">
        <f>IFERROR(ROUND((AVERAGE(M38:N38)*2+AVERAGE(O38:P38))/3,1),"")</f>
        <v/>
      </c>
      <c r="R38" s="701" t="n"/>
      <c r="S38" s="702">
        <f>IFERROR(ROUND((Q38*2+R38*3)/5,1),"")</f>
        <v/>
      </c>
      <c r="T38" s="701" t="n">
        <v>6</v>
      </c>
      <c r="U38" s="701" t="n">
        <v>6</v>
      </c>
      <c r="V38" s="702">
        <f>ROUND(AVERAGE(T38:U38),1)</f>
        <v/>
      </c>
      <c r="W38" s="702">
        <f>ROUND((AVERAGE(L38,S38)+V38*2)/3,1)</f>
        <v/>
      </c>
      <c r="X38" s="701" t="n">
        <v>6</v>
      </c>
      <c r="Y38" s="701" t="n"/>
      <c r="Z38" s="701" t="n">
        <v>7</v>
      </c>
      <c r="AA38" s="701" t="n"/>
      <c r="AB38" s="702">
        <f>ROUND((AVERAGE(X38:Y38)*2+AVERAGE(Z38:AA38))/3,1)</f>
        <v/>
      </c>
      <c r="AC38" s="701" t="n">
        <v>6</v>
      </c>
      <c r="AD38" s="702">
        <f>ROUND((AB38*2+AC38*3)/5,1)</f>
        <v/>
      </c>
      <c r="AE38" s="701" t="n"/>
      <c r="AF38" s="701" t="n"/>
      <c r="AG38" s="701" t="n"/>
      <c r="AH38" s="701" t="n"/>
      <c r="AI38" s="702">
        <f>IFERROR(ROUND((AVERAGE(AE38:AF38)*2+AVERAGE(AG38:AH38))/3,1),"")</f>
        <v/>
      </c>
      <c r="AJ38" s="701" t="n"/>
      <c r="AK38" s="702">
        <f>IFERROR(ROUND((AI38*2+AJ38*3)/5,1),"")</f>
        <v/>
      </c>
      <c r="AL38" s="701" t="n">
        <v>6</v>
      </c>
      <c r="AM38" s="701" t="n">
        <v>6</v>
      </c>
      <c r="AN38" s="702">
        <f>ROUND(AVERAGE(AL38:AM38),1)</f>
        <v/>
      </c>
      <c r="AO38" s="702">
        <f>ROUND((AVERAGE(AD38,AK38)+AN38*2)/3,1)</f>
        <v/>
      </c>
      <c r="AP38" s="701" t="n">
        <v>6</v>
      </c>
      <c r="AQ38" s="701" t="n"/>
      <c r="AR38" s="701" t="n">
        <v>7</v>
      </c>
      <c r="AS38" s="701" t="n"/>
      <c r="AT38" s="702">
        <f>ROUND((AVERAGE(AP38:AQ38)*2+AVERAGE(AR38:AS38))/3,1)</f>
        <v/>
      </c>
      <c r="AU38" s="701" t="n">
        <v>6</v>
      </c>
      <c r="AV38" s="702">
        <f>ROUND((AT38*2+AU38*3)/5,1)</f>
        <v/>
      </c>
      <c r="AW38" s="701" t="n"/>
      <c r="AX38" s="701" t="n"/>
      <c r="AY38" s="701" t="n"/>
      <c r="AZ38" s="701" t="n"/>
      <c r="BA38" s="702">
        <f>IFERROR(ROUND((AVERAGE(AW38:AX38)*2+AVERAGE(AY38:AZ38))/3,1),"")</f>
        <v/>
      </c>
      <c r="BB38" s="701" t="n"/>
      <c r="BC38" s="702">
        <f>IFERROR(ROUND((BA38*2+BB38*3)/5,1),"")</f>
        <v/>
      </c>
      <c r="BD38" s="701" t="n">
        <v>6</v>
      </c>
      <c r="BE38" s="701" t="n">
        <v>6</v>
      </c>
      <c r="BF38" s="702">
        <f>ROUND(AVERAGE(BD38:BE38),1)</f>
        <v/>
      </c>
      <c r="BG38" s="702">
        <f>ROUND((AVERAGE(AV38,BC38)+BF38*2)/3,1)</f>
        <v/>
      </c>
      <c r="BH38" s="704">
        <f>IFERROR(ROUND(AVERAGE(BG38,AO38,W38),1),"")</f>
        <v/>
      </c>
      <c r="BI38" s="704">
        <f>IF(BH38&gt;=9,"Xuất sắc",IF(BH38&gt;=8,"Giỏi",IF(BH38&gt;=7,"Khá",IF(BH38&gt;=6,"Trung bình - Khá",IF(BH38&gt;=5,"Trung bình","Không đạt")))))</f>
        <v/>
      </c>
      <c r="BJ38" s="684">
        <f>IF(AND(ISNUMBER(BH38), BH38&gt;=5), "x", "")</f>
        <v/>
      </c>
    </row>
    <row r="39">
      <c r="A39" s="659">
        <f>IF('Thông tin HV'!A39="","",'Thông tin HV'!A39)</f>
        <v/>
      </c>
      <c r="B39" s="659">
        <f>IF('Thông tin HV'!B39="","",'Thông tin HV'!B39)</f>
        <v/>
      </c>
      <c r="C39" s="659">
        <f>IF('Thông tin HV'!C39="","",'Thông tin HV'!C39)</f>
        <v/>
      </c>
      <c r="BJ39" s="659">
        <f>IF(AND(ISNUMBER(BH39), BH39&gt;=5), "x", "")</f>
        <v/>
      </c>
    </row>
    <row r="40">
      <c r="A40" s="659">
        <f>IF('Thông tin HV'!A40="","",'Thông tin HV'!A40)</f>
        <v/>
      </c>
      <c r="B40" s="659">
        <f>IF('Thông tin HV'!B40="","",'Thông tin HV'!B40)</f>
        <v/>
      </c>
      <c r="C40" s="659">
        <f>IF('Thông tin HV'!C40="","",'Thông tin HV'!C40)</f>
        <v/>
      </c>
      <c r="BJ40" s="659">
        <f>IF(AND(ISNUMBER(BH40), BH40&gt;=5), "x", "")</f>
        <v/>
      </c>
    </row>
    <row r="41">
      <c r="A41" s="659">
        <f>IF('Thông tin HV'!A41="","",'Thông tin HV'!A41)</f>
        <v/>
      </c>
      <c r="B41" s="659">
        <f>IF('Thông tin HV'!B41="","",'Thông tin HV'!B41)</f>
        <v/>
      </c>
      <c r="C41" s="659">
        <f>IF('Thông tin HV'!C41="","",'Thông tin HV'!C41)</f>
        <v/>
      </c>
      <c r="BJ41" s="659">
        <f>IF(AND(ISNUMBER(BH41), BH41&gt;=5), "x", "")</f>
        <v/>
      </c>
    </row>
    <row r="42">
      <c r="A42" s="659">
        <f>IF('Thông tin HV'!A42="","",'Thông tin HV'!A42)</f>
        <v/>
      </c>
      <c r="B42" s="659">
        <f>IF('Thông tin HV'!B42="","",'Thông tin HV'!B42)</f>
        <v/>
      </c>
      <c r="C42" s="659">
        <f>IF('Thông tin HV'!C42="","",'Thông tin HV'!C42)</f>
        <v/>
      </c>
      <c r="BJ42" s="659">
        <f>IF(AND(ISNUMBER(BH42), BH42&gt;=5), "x", "")</f>
        <v/>
      </c>
    </row>
    <row r="43">
      <c r="A43" s="659">
        <f>IF('Thông tin HV'!A43="","",'Thông tin HV'!A43)</f>
        <v/>
      </c>
      <c r="B43" s="659">
        <f>IF('Thông tin HV'!B43="","",'Thông tin HV'!B43)</f>
        <v/>
      </c>
      <c r="C43" s="659">
        <f>IF('Thông tin HV'!C43="","",'Thông tin HV'!C43)</f>
        <v/>
      </c>
      <c r="BJ43" s="659">
        <f>IF(AND(ISNUMBER(BH43), BH43&gt;=5), "x", "")</f>
        <v/>
      </c>
    </row>
    <row r="44">
      <c r="A44" s="659">
        <f>IF('Thông tin HV'!A44="","",'Thông tin HV'!A44)</f>
        <v/>
      </c>
      <c r="B44" s="659">
        <f>IF('Thông tin HV'!B44="","",'Thông tin HV'!B44)</f>
        <v/>
      </c>
      <c r="C44" s="659">
        <f>IF('Thông tin HV'!C44="","",'Thông tin HV'!C44)</f>
        <v/>
      </c>
      <c r="BJ44" s="659">
        <f>IF(AND(ISNUMBER(BH44), BH44&gt;=5), "x", "")</f>
        <v/>
      </c>
    </row>
    <row r="45">
      <c r="A45" s="659">
        <f>IF('Thông tin HV'!A45="","",'Thông tin HV'!A45)</f>
        <v/>
      </c>
      <c r="B45" s="659">
        <f>IF('Thông tin HV'!B45="","",'Thông tin HV'!B45)</f>
        <v/>
      </c>
      <c r="C45" s="659">
        <f>IF('Thông tin HV'!C45="","",'Thông tin HV'!C45)</f>
        <v/>
      </c>
      <c r="BJ45" s="659">
        <f>IF(AND(ISNUMBER(BH45), BH45&gt;=5), "x", "")</f>
        <v/>
      </c>
    </row>
    <row r="46">
      <c r="A46" s="659">
        <f>IF('Thông tin HV'!A46="","",'Thông tin HV'!A46)</f>
        <v/>
      </c>
      <c r="B46" s="659">
        <f>IF('Thông tin HV'!B46="","",'Thông tin HV'!B46)</f>
        <v/>
      </c>
      <c r="C46" s="659">
        <f>IF('Thông tin HV'!C46="","",'Thông tin HV'!C46)</f>
        <v/>
      </c>
      <c r="BJ46" s="659">
        <f>IF(AND(ISNUMBER(BH46), BH46&gt;=5), "x", "")</f>
        <v/>
      </c>
    </row>
    <row r="47">
      <c r="A47" s="659">
        <f>IF('Thông tin HV'!A47="","",'Thông tin HV'!A47)</f>
        <v/>
      </c>
      <c r="B47" s="659">
        <f>IF('Thông tin HV'!B47="","",'Thông tin HV'!B47)</f>
        <v/>
      </c>
      <c r="C47" s="659">
        <f>IF('Thông tin HV'!C47="","",'Thông tin HV'!C47)</f>
        <v/>
      </c>
      <c r="BJ47" s="659">
        <f>IF(AND(ISNUMBER(BH47), BH47&gt;=5), "x", "")</f>
        <v/>
      </c>
    </row>
    <row r="48">
      <c r="A48" s="659">
        <f>IF('Thông tin HV'!A48="","",'Thông tin HV'!A48)</f>
        <v/>
      </c>
      <c r="B48" s="659">
        <f>IF('Thông tin HV'!B48="","",'Thông tin HV'!B48)</f>
        <v/>
      </c>
      <c r="C48" s="659">
        <f>IF('Thông tin HV'!C48="","",'Thông tin HV'!C48)</f>
        <v/>
      </c>
      <c r="BJ48" s="659">
        <f>IF(AND(ISNUMBER(BH48), BH48&gt;=5), "x", "")</f>
        <v/>
      </c>
    </row>
    <row r="49">
      <c r="A49" s="659">
        <f>IF('Thông tin HV'!A49="","",'Thông tin HV'!A49)</f>
        <v/>
      </c>
      <c r="B49" s="659">
        <f>IF('Thông tin HV'!B49="","",'Thông tin HV'!B49)</f>
        <v/>
      </c>
      <c r="C49" s="659">
        <f>IF('Thông tin HV'!C49="","",'Thông tin HV'!C49)</f>
        <v/>
      </c>
      <c r="BJ49" s="659">
        <f>IF(AND(ISNUMBER(BH49), BH49&gt;=5), "x", "")</f>
        <v/>
      </c>
    </row>
    <row r="50">
      <c r="A50" s="659">
        <f>IF('Thông tin HV'!A50="","",'Thông tin HV'!A50)</f>
        <v/>
      </c>
      <c r="B50" s="659">
        <f>IF('Thông tin HV'!B50="","",'Thông tin HV'!B50)</f>
        <v/>
      </c>
      <c r="C50" s="659">
        <f>IF('Thông tin HV'!C50="","",'Thông tin HV'!C50)</f>
        <v/>
      </c>
      <c r="BJ50" s="659">
        <f>IF(AND(ISNUMBER(BH50), BH50&gt;=5), "x", "")</f>
        <v/>
      </c>
    </row>
    <row r="51">
      <c r="A51" s="659">
        <f>IF('Thông tin HV'!A51="","",'Thông tin HV'!A51)</f>
        <v/>
      </c>
      <c r="B51" s="659">
        <f>IF('Thông tin HV'!B51="","",'Thông tin HV'!B51)</f>
        <v/>
      </c>
      <c r="C51" s="659">
        <f>IF('Thông tin HV'!C51="","",'Thông tin HV'!C51)</f>
        <v/>
      </c>
      <c r="BJ51" s="659">
        <f>IF(AND(ISNUMBER(BH51), BH51&gt;=5), "x", "")</f>
        <v/>
      </c>
    </row>
    <row r="52">
      <c r="A52" s="659">
        <f>IF('Thông tin HV'!A52="","",'Thông tin HV'!A52)</f>
        <v/>
      </c>
      <c r="B52" s="659">
        <f>IF('Thông tin HV'!B52="","",'Thông tin HV'!B52)</f>
        <v/>
      </c>
      <c r="C52" s="659">
        <f>IF('Thông tin HV'!C52="","",'Thông tin HV'!C52)</f>
        <v/>
      </c>
      <c r="BJ52" s="659">
        <f>IF(AND(ISNUMBER(BH52), BH52&gt;=5), "x", "")</f>
        <v/>
      </c>
    </row>
    <row r="53">
      <c r="A53" s="659">
        <f>IF('Thông tin HV'!A53="","",'Thông tin HV'!A53)</f>
        <v/>
      </c>
      <c r="B53" s="659">
        <f>IF('Thông tin HV'!B53="","",'Thông tin HV'!B53)</f>
        <v/>
      </c>
      <c r="C53" s="659">
        <f>IF('Thông tin HV'!C53="","",'Thông tin HV'!C53)</f>
        <v/>
      </c>
      <c r="BJ53" s="659">
        <f>IF(AND(ISNUMBER(BH53), BH53&gt;=5), "x", "")</f>
        <v/>
      </c>
    </row>
    <row r="54">
      <c r="A54" s="659">
        <f>IF('Thông tin HV'!A54="","",'Thông tin HV'!A54)</f>
        <v/>
      </c>
      <c r="B54" s="659">
        <f>IF('Thông tin HV'!B54="","",'Thông tin HV'!B54)</f>
        <v/>
      </c>
      <c r="C54" s="659">
        <f>IF('Thông tin HV'!C54="","",'Thông tin HV'!C54)</f>
        <v/>
      </c>
      <c r="BJ54" s="659">
        <f>IF(AND(ISNUMBER(BH54), BH54&gt;=5), "x", "")</f>
        <v/>
      </c>
    </row>
    <row r="55">
      <c r="A55" s="659">
        <f>IF('Thông tin HV'!A55="","",'Thông tin HV'!A55)</f>
        <v/>
      </c>
      <c r="B55" s="659">
        <f>IF('Thông tin HV'!B55="","",'Thông tin HV'!B55)</f>
        <v/>
      </c>
      <c r="C55" s="659">
        <f>IF('Thông tin HV'!C55="","",'Thông tin HV'!C55)</f>
        <v/>
      </c>
      <c r="BJ55" s="659">
        <f>IF(AND(ISNUMBER(BH55), BH55&gt;=5), "x", "")</f>
        <v/>
      </c>
    </row>
    <row r="56">
      <c r="A56" s="659">
        <f>IF('Thông tin HV'!A56="","",'Thông tin HV'!A56)</f>
        <v/>
      </c>
      <c r="B56" s="659">
        <f>IF('Thông tin HV'!B56="","",'Thông tin HV'!B56)</f>
        <v/>
      </c>
      <c r="C56" s="659">
        <f>IF('Thông tin HV'!C56="","",'Thông tin HV'!C56)</f>
        <v/>
      </c>
      <c r="BJ56" s="659">
        <f>IF(AND(ISNUMBER(BH56), BH56&gt;=5), "x", "")</f>
        <v/>
      </c>
    </row>
    <row r="57">
      <c r="A57" s="659">
        <f>IF('Thông tin HV'!A57="","",'Thông tin HV'!A57)</f>
        <v/>
      </c>
      <c r="B57" s="659">
        <f>IF('Thông tin HV'!B57="","",'Thông tin HV'!B57)</f>
        <v/>
      </c>
      <c r="C57" s="659">
        <f>IF('Thông tin HV'!C57="","",'Thông tin HV'!C57)</f>
        <v/>
      </c>
      <c r="BJ57" s="659">
        <f>IF(AND(ISNUMBER(BH57), BH57&gt;=5), "x", "")</f>
        <v/>
      </c>
    </row>
    <row r="58">
      <c r="A58" s="659">
        <f>IF('Thông tin HV'!A58="","",'Thông tin HV'!A58)</f>
        <v/>
      </c>
      <c r="B58" s="659">
        <f>IF('Thông tin HV'!B58="","",'Thông tin HV'!B58)</f>
        <v/>
      </c>
      <c r="C58" s="659">
        <f>IF('Thông tin HV'!C58="","",'Thông tin HV'!C58)</f>
        <v/>
      </c>
      <c r="BJ58" s="659">
        <f>IF(AND(ISNUMBER(BH58), BH58&gt;=5), "x", "")</f>
        <v/>
      </c>
    </row>
    <row r="59">
      <c r="A59" s="659">
        <f>IF('Thông tin HV'!A59="","",'Thông tin HV'!A59)</f>
        <v/>
      </c>
      <c r="B59" s="659">
        <f>IF('Thông tin HV'!B59="","",'Thông tin HV'!B59)</f>
        <v/>
      </c>
      <c r="C59" s="659">
        <f>IF('Thông tin HV'!C59="","",'Thông tin HV'!C59)</f>
        <v/>
      </c>
      <c r="BJ59" s="659">
        <f>IF(AND(ISNUMBER(BH59), BH59&gt;=5), "x", "")</f>
        <v/>
      </c>
    </row>
  </sheetData>
  <mergeCells count="22">
    <mergeCell ref="BD2:BF2"/>
    <mergeCell ref="AP2:AV2"/>
    <mergeCell ref="AP1:BG1"/>
    <mergeCell ref="BH1:BH3"/>
    <mergeCell ref="BI1:BI3"/>
    <mergeCell ref="T2:V2"/>
    <mergeCell ref="X2:AD2"/>
    <mergeCell ref="AW2:BC2"/>
    <mergeCell ref="W2:W3"/>
    <mergeCell ref="C1:D3"/>
    <mergeCell ref="BG2:BG3"/>
    <mergeCell ref="A1:A3"/>
    <mergeCell ref="X1:AO1"/>
    <mergeCell ref="BJ1:BJ3"/>
    <mergeCell ref="M2:S2"/>
    <mergeCell ref="E1:E3"/>
    <mergeCell ref="F1:W1"/>
    <mergeCell ref="AE2:AK2"/>
    <mergeCell ref="AO2:AO3"/>
    <mergeCell ref="B1:B3"/>
    <mergeCell ref="AL2:AN2"/>
    <mergeCell ref="F2:L2"/>
  </mergeCells>
  <conditionalFormatting sqref="F4:BI38">
    <cfRule type="cellIs" rank="0" priority="2" equalAverage="0" operator="lessThan" aboveAverage="0" dxfId="4" text="" percent="0" bottom="0">
      <formula>5</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K44"/>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E12" activeCellId="0" sqref="E12"/>
    </sheetView>
  </sheetViews>
  <sheetFormatPr baseColWidth="8" defaultColWidth="8.90234375" defaultRowHeight="15" zeroHeight="0" outlineLevelRow="0"/>
  <cols>
    <col width="3.31" customWidth="1" style="659" min="1" max="1"/>
    <col width="13.31" customWidth="1" style="659" min="2" max="2"/>
    <col width="16.62" customWidth="1" style="659" min="3" max="3"/>
    <col width="13.68" customWidth="1" style="659" min="4" max="5"/>
    <col width="10.81" customWidth="1" style="659" min="8" max="8"/>
    <col width="18.18" customWidth="1" style="659" min="9" max="9"/>
    <col width="10.56" customWidth="1" style="659" min="10" max="10"/>
  </cols>
  <sheetData>
    <row r="1" ht="17.25" customHeight="1" s="393">
      <c r="A1" s="705" t="inlineStr">
        <is>
          <t>KẾT QUẢ HỌC TẬP</t>
        </is>
      </c>
    </row>
    <row r="2" ht="17.25" customHeight="1" s="393">
      <c r="A2" s="705" t="n"/>
      <c r="B2" s="705" t="n"/>
      <c r="C2" s="705" t="n"/>
      <c r="D2" s="706" t="inlineStr">
        <is>
          <t>Khóa</t>
        </is>
      </c>
      <c r="E2" s="705" t="n"/>
      <c r="F2" s="705" t="inlineStr">
        <is>
          <t>Năm</t>
        </is>
      </c>
      <c r="G2" s="705" t="n"/>
      <c r="H2" s="705" t="n"/>
      <c r="I2" s="705" t="n"/>
      <c r="J2" s="705" t="n"/>
      <c r="K2" s="705" t="n"/>
    </row>
    <row r="3" ht="17.25" customHeight="1" s="393">
      <c r="A3" s="705" t="n"/>
      <c r="B3" s="705" t="n"/>
      <c r="C3" s="705" t="n"/>
      <c r="D3" s="706" t="inlineStr">
        <is>
          <t>Tên nghề đào tạo</t>
        </is>
      </c>
      <c r="E3" s="705" t="n"/>
      <c r="F3" s="705" t="n"/>
      <c r="G3" s="705" t="n"/>
      <c r="H3" s="705" t="n"/>
      <c r="I3" s="705" t="n"/>
      <c r="J3" s="705" t="n"/>
      <c r="K3" s="705" t="n"/>
    </row>
    <row r="4" ht="17.25" customHeight="1" s="393">
      <c r="A4" s="705" t="n"/>
      <c r="B4" s="705" t="n"/>
      <c r="C4" s="705" t="n"/>
      <c r="D4" s="706" t="inlineStr">
        <is>
          <t>Địa điểm đào tạo</t>
        </is>
      </c>
      <c r="E4" s="705" t="n"/>
      <c r="F4" s="705" t="n"/>
      <c r="G4" s="705" t="n"/>
      <c r="H4" s="705" t="n"/>
      <c r="I4" s="705" t="n"/>
      <c r="J4" s="705" t="n"/>
      <c r="K4" s="705" t="n"/>
    </row>
    <row r="5" ht="17.25" customHeight="1" s="393">
      <c r="A5" s="705" t="n"/>
      <c r="B5" s="705" t="n"/>
      <c r="C5" s="705" t="n"/>
      <c r="D5" s="705" t="n"/>
      <c r="E5" s="705" t="n"/>
      <c r="F5" s="705" t="n"/>
      <c r="G5" s="705" t="n"/>
      <c r="H5" s="705" t="n"/>
      <c r="I5" s="705" t="n"/>
      <c r="J5" s="705" t="n"/>
      <c r="K5" s="705" t="n"/>
    </row>
    <row r="6" ht="45" customFormat="1" customHeight="1" s="707">
      <c r="A6" s="708" t="inlineStr">
        <is>
          <t>Số TT</t>
        </is>
      </c>
      <c r="B6" s="708" t="inlineStr">
        <is>
          <t>Mã học viên</t>
        </is>
      </c>
      <c r="C6" s="708" t="inlineStr">
        <is>
          <t>Họ và tên học viên</t>
        </is>
      </c>
      <c r="D6" s="708" t="inlineStr">
        <is>
          <t>Kết quả học tập mô đun 1</t>
        </is>
      </c>
      <c r="E6" s="708" t="inlineStr">
        <is>
          <t>Kết quả học tập mô đun 2</t>
        </is>
      </c>
      <c r="F6" s="708" t="inlineStr">
        <is>
          <t>Kết quả khóa học</t>
        </is>
      </c>
      <c r="G6" s="708" t="inlineStr">
        <is>
          <t>Số chứng chỉ đào tạo</t>
        </is>
      </c>
      <c r="H6" s="407" t="n"/>
      <c r="I6" s="708" t="inlineStr">
        <is>
          <t>Ngày nhận
chứng chỉ đào tạo</t>
        </is>
      </c>
      <c r="J6" s="708" t="inlineStr">
        <is>
          <t>Chữ ký của học viên</t>
        </is>
      </c>
    </row>
    <row r="7" ht="20" customHeight="1" s="393">
      <c r="A7" s="485" t="n">
        <v>1</v>
      </c>
      <c r="B7" s="485">
        <f>'Thông tin HV'!B2</f>
        <v/>
      </c>
      <c r="C7" s="709">
        <f>'Thông tin HV'!C2</f>
        <v/>
      </c>
      <c r="D7" s="710" t="n"/>
      <c r="E7" s="485" t="n"/>
      <c r="F7" s="711">
        <f>VLOOKUP(B7,'[1]Tính điểm'!$B$4:$BI$38,57,0)</f>
        <v/>
      </c>
      <c r="G7" s="712" t="n"/>
      <c r="H7" s="713" t="n"/>
      <c r="I7" s="485" t="n"/>
      <c r="J7" s="714" t="n"/>
    </row>
    <row r="8" ht="20" customHeight="1" s="393">
      <c r="A8" s="485" t="n">
        <v>2</v>
      </c>
      <c r="B8" s="485">
        <f>'Thông tin HV'!B3</f>
        <v/>
      </c>
      <c r="C8" s="709">
        <f>'Thông tin HV'!C3</f>
        <v/>
      </c>
      <c r="D8" s="710" t="n"/>
      <c r="E8" s="485" t="n"/>
      <c r="F8" s="711">
        <f>VLOOKUP(B8,'[1]Tính điểm'!$B$4:$BI$38,57,0)</f>
        <v/>
      </c>
      <c r="G8" s="712" t="n"/>
      <c r="H8" s="713" t="n"/>
      <c r="I8" s="485" t="n"/>
      <c r="J8" s="714" t="n"/>
    </row>
    <row r="9" ht="20" customHeight="1" s="393">
      <c r="A9" s="485" t="n">
        <v>3</v>
      </c>
      <c r="B9" s="485">
        <f>'Thông tin HV'!B4</f>
        <v/>
      </c>
      <c r="C9" s="709">
        <f>'Thông tin HV'!C4</f>
        <v/>
      </c>
      <c r="D9" s="710" t="n"/>
      <c r="E9" s="485" t="n"/>
      <c r="F9" s="711">
        <f>VLOOKUP(B9,'[1]Tính điểm'!$B$4:$BI$38,57,0)</f>
        <v/>
      </c>
      <c r="G9" s="712" t="n"/>
      <c r="H9" s="713" t="n"/>
      <c r="I9" s="485" t="n"/>
      <c r="J9" s="714" t="n"/>
    </row>
    <row r="10" ht="20" customHeight="1" s="393">
      <c r="A10" s="485" t="n">
        <v>4</v>
      </c>
      <c r="B10" s="485">
        <f>'Thông tin HV'!B5</f>
        <v/>
      </c>
      <c r="C10" s="709">
        <f>'Thông tin HV'!C5</f>
        <v/>
      </c>
      <c r="D10" s="710" t="n"/>
      <c r="E10" s="485" t="n"/>
      <c r="F10" s="711">
        <f>VLOOKUP(B10,'[1]Tính điểm'!$B$4:$BI$38,57,0)</f>
        <v/>
      </c>
      <c r="G10" s="712" t="n"/>
      <c r="H10" s="713" t="n"/>
      <c r="I10" s="485" t="n"/>
      <c r="J10" s="714" t="n"/>
    </row>
    <row r="11" ht="20" customHeight="1" s="393">
      <c r="A11" s="485" t="n">
        <v>5</v>
      </c>
      <c r="B11" s="485">
        <f>'Thông tin HV'!B6</f>
        <v/>
      </c>
      <c r="C11" s="709">
        <f>'Thông tin HV'!C6</f>
        <v/>
      </c>
      <c r="D11" s="710" t="n"/>
      <c r="E11" s="485" t="n"/>
      <c r="F11" s="711">
        <f>VLOOKUP(B11,'[1]Tính điểm'!$B$4:$BI$38,57,0)</f>
        <v/>
      </c>
      <c r="G11" s="712" t="n"/>
      <c r="H11" s="713" t="n"/>
      <c r="I11" s="485" t="n"/>
      <c r="J11" s="714" t="n"/>
    </row>
    <row r="12" ht="20" customHeight="1" s="393">
      <c r="A12" s="485" t="n">
        <v>6</v>
      </c>
      <c r="B12" s="485">
        <f>'Thông tin HV'!B7</f>
        <v/>
      </c>
      <c r="C12" s="709">
        <f>'Thông tin HV'!C7</f>
        <v/>
      </c>
      <c r="D12" s="710" t="n"/>
      <c r="E12" s="485" t="n"/>
      <c r="F12" s="711">
        <f>VLOOKUP(B12,'[1]Tính điểm'!$B$4:$BI$38,57,0)</f>
        <v/>
      </c>
      <c r="G12" s="712" t="n"/>
      <c r="H12" s="713" t="n"/>
      <c r="I12" s="485" t="n"/>
      <c r="J12" s="714" t="n"/>
    </row>
    <row r="13" ht="20" customHeight="1" s="393">
      <c r="A13" s="485" t="n">
        <v>7</v>
      </c>
      <c r="B13" s="485">
        <f>'Thông tin HV'!B8</f>
        <v/>
      </c>
      <c r="C13" s="709">
        <f>'Thông tin HV'!C8</f>
        <v/>
      </c>
      <c r="D13" s="710" t="n"/>
      <c r="E13" s="485" t="n"/>
      <c r="F13" s="711">
        <f>VLOOKUP(B13,'[1]Tính điểm'!$B$4:$BI$38,57,0)</f>
        <v/>
      </c>
      <c r="G13" s="712" t="n"/>
      <c r="H13" s="713" t="n"/>
      <c r="I13" s="485" t="n"/>
      <c r="J13" s="714" t="n"/>
    </row>
    <row r="14" ht="20" customHeight="1" s="393">
      <c r="A14" s="485" t="n">
        <v>8</v>
      </c>
      <c r="B14" s="485">
        <f>'Thông tin HV'!B9</f>
        <v/>
      </c>
      <c r="C14" s="709">
        <f>'Thông tin HV'!C9</f>
        <v/>
      </c>
      <c r="D14" s="710" t="n"/>
      <c r="E14" s="485" t="n"/>
      <c r="F14" s="711">
        <f>VLOOKUP(B14,'[1]Tính điểm'!$B$4:$BI$38,57,0)</f>
        <v/>
      </c>
      <c r="G14" s="712" t="n"/>
      <c r="H14" s="713" t="n"/>
      <c r="I14" s="485" t="n"/>
      <c r="J14" s="714" t="n"/>
    </row>
    <row r="15" ht="20" customHeight="1" s="393">
      <c r="A15" s="485" t="n">
        <v>9</v>
      </c>
      <c r="B15" s="485">
        <f>'Thông tin HV'!B10</f>
        <v/>
      </c>
      <c r="C15" s="709">
        <f>'Thông tin HV'!C10</f>
        <v/>
      </c>
      <c r="D15" s="710" t="n"/>
      <c r="E15" s="485" t="n"/>
      <c r="F15" s="711">
        <f>VLOOKUP(B15,'[1]Tính điểm'!$B$4:$BI$38,57,0)</f>
        <v/>
      </c>
      <c r="G15" s="712" t="n"/>
      <c r="H15" s="713" t="n"/>
      <c r="I15" s="485" t="n"/>
      <c r="J15" s="714" t="n"/>
    </row>
    <row r="16" ht="20" customHeight="1" s="393">
      <c r="A16" s="485" t="n">
        <v>10</v>
      </c>
      <c r="B16" s="485">
        <f>'Thông tin HV'!B11</f>
        <v/>
      </c>
      <c r="C16" s="709">
        <f>'Thông tin HV'!C11</f>
        <v/>
      </c>
      <c r="D16" s="710" t="n"/>
      <c r="E16" s="485" t="n"/>
      <c r="F16" s="711">
        <f>VLOOKUP(B16,'[1]Tính điểm'!$B$4:$BI$38,57,0)</f>
        <v/>
      </c>
      <c r="G16" s="712" t="n"/>
      <c r="H16" s="713" t="n"/>
      <c r="I16" s="485" t="n"/>
      <c r="J16" s="714" t="n"/>
    </row>
    <row r="17" ht="20" customHeight="1" s="393">
      <c r="A17" s="485" t="n">
        <v>11</v>
      </c>
      <c r="B17" s="485">
        <f>'Thông tin HV'!B12</f>
        <v/>
      </c>
      <c r="C17" s="709">
        <f>'Thông tin HV'!C12</f>
        <v/>
      </c>
      <c r="D17" s="710" t="n"/>
      <c r="E17" s="485" t="n"/>
      <c r="F17" s="711">
        <f>VLOOKUP(B17,'[1]Tính điểm'!$B$4:$BI$38,57,0)</f>
        <v/>
      </c>
      <c r="G17" s="712" t="n"/>
      <c r="H17" s="713" t="n"/>
      <c r="I17" s="485" t="n"/>
      <c r="J17" s="714" t="n"/>
    </row>
    <row r="18" ht="20" customHeight="1" s="393">
      <c r="A18" s="485" t="n">
        <v>12</v>
      </c>
      <c r="B18" s="485">
        <f>'Thông tin HV'!B13</f>
        <v/>
      </c>
      <c r="C18" s="709">
        <f>'Thông tin HV'!C13</f>
        <v/>
      </c>
      <c r="D18" s="710" t="n"/>
      <c r="E18" s="485" t="n"/>
      <c r="F18" s="711">
        <f>VLOOKUP(B18,'[1]Tính điểm'!$B$4:$BI$38,57,0)</f>
        <v/>
      </c>
      <c r="G18" s="712" t="n"/>
      <c r="H18" s="713" t="n"/>
      <c r="I18" s="485" t="n"/>
      <c r="J18" s="714" t="n"/>
    </row>
    <row r="19" ht="20" customHeight="1" s="393">
      <c r="A19" s="485" t="n">
        <v>13</v>
      </c>
      <c r="B19" s="485">
        <f>'Thông tin HV'!B14</f>
        <v/>
      </c>
      <c r="C19" s="709">
        <f>'Thông tin HV'!C14</f>
        <v/>
      </c>
      <c r="D19" s="710" t="n"/>
      <c r="E19" s="485" t="n"/>
      <c r="F19" s="711">
        <f>VLOOKUP(B19,'[1]Tính điểm'!$B$4:$BI$38,57,0)</f>
        <v/>
      </c>
      <c r="G19" s="712" t="n"/>
      <c r="H19" s="713" t="n"/>
      <c r="I19" s="485" t="n"/>
      <c r="J19" s="714" t="n"/>
    </row>
    <row r="20" ht="20" customHeight="1" s="393">
      <c r="A20" s="485" t="n">
        <v>14</v>
      </c>
      <c r="B20" s="485">
        <f>'Thông tin HV'!B15</f>
        <v/>
      </c>
      <c r="C20" s="709">
        <f>'Thông tin HV'!C15</f>
        <v/>
      </c>
      <c r="D20" s="710" t="n"/>
      <c r="E20" s="485" t="n"/>
      <c r="F20" s="711">
        <f>VLOOKUP(B20,'[1]Tính điểm'!$B$4:$BI$38,57,0)</f>
        <v/>
      </c>
      <c r="G20" s="712" t="n"/>
      <c r="H20" s="713" t="n"/>
      <c r="I20" s="485" t="n"/>
      <c r="J20" s="714" t="n"/>
    </row>
    <row r="21" ht="20" customHeight="1" s="393">
      <c r="A21" s="485" t="n">
        <v>15</v>
      </c>
      <c r="B21" s="485">
        <f>'Thông tin HV'!B16</f>
        <v/>
      </c>
      <c r="C21" s="709">
        <f>'Thông tin HV'!C16</f>
        <v/>
      </c>
      <c r="D21" s="710" t="n"/>
      <c r="E21" s="485" t="n"/>
      <c r="F21" s="711">
        <f>VLOOKUP(B21,'[1]Tính điểm'!$B$4:$BI$38,57,0)</f>
        <v/>
      </c>
      <c r="G21" s="712" t="n"/>
      <c r="H21" s="713" t="n"/>
      <c r="I21" s="485" t="n"/>
      <c r="J21" s="714" t="n"/>
    </row>
    <row r="22" ht="20" customHeight="1" s="393">
      <c r="A22" s="485" t="n">
        <v>16</v>
      </c>
      <c r="B22" s="485">
        <f>'Thông tin HV'!B17</f>
        <v/>
      </c>
      <c r="C22" s="709">
        <f>'Thông tin HV'!C17</f>
        <v/>
      </c>
      <c r="D22" s="710" t="n"/>
      <c r="E22" s="485" t="n"/>
      <c r="F22" s="711">
        <f>VLOOKUP(B22,'[1]Tính điểm'!$B$4:$BI$38,57,0)</f>
        <v/>
      </c>
      <c r="G22" s="712" t="n"/>
      <c r="H22" s="713" t="n"/>
      <c r="I22" s="485" t="n"/>
      <c r="J22" s="714" t="n"/>
    </row>
    <row r="23" ht="20" customHeight="1" s="393">
      <c r="A23" s="485" t="n">
        <v>17</v>
      </c>
      <c r="B23" s="485">
        <f>'Thông tin HV'!B18</f>
        <v/>
      </c>
      <c r="C23" s="709">
        <f>'Thông tin HV'!C18</f>
        <v/>
      </c>
      <c r="D23" s="710" t="n"/>
      <c r="E23" s="485" t="n"/>
      <c r="F23" s="711">
        <f>VLOOKUP(B23,'[1]Tính điểm'!$B$4:$BI$38,57,0)</f>
        <v/>
      </c>
      <c r="G23" s="712" t="n"/>
      <c r="H23" s="713" t="n"/>
      <c r="I23" s="485" t="n"/>
      <c r="J23" s="714" t="n"/>
    </row>
    <row r="24" ht="20" customHeight="1" s="393">
      <c r="A24" s="485" t="n">
        <v>18</v>
      </c>
      <c r="B24" s="485">
        <f>'Thông tin HV'!B19</f>
        <v/>
      </c>
      <c r="C24" s="709">
        <f>'Thông tin HV'!C19</f>
        <v/>
      </c>
      <c r="D24" s="710" t="n"/>
      <c r="E24" s="485" t="n"/>
      <c r="F24" s="711">
        <f>VLOOKUP(B24,'[1]Tính điểm'!$B$4:$BI$38,57,0)</f>
        <v/>
      </c>
      <c r="G24" s="712" t="n"/>
      <c r="H24" s="713" t="n"/>
      <c r="I24" s="485" t="n"/>
      <c r="J24" s="714" t="n"/>
    </row>
    <row r="25" ht="20" customHeight="1" s="393">
      <c r="A25" s="485" t="n">
        <v>19</v>
      </c>
      <c r="B25" s="485">
        <f>'Thông tin HV'!B20</f>
        <v/>
      </c>
      <c r="C25" s="709">
        <f>'Thông tin HV'!C20</f>
        <v/>
      </c>
      <c r="D25" s="710" t="n"/>
      <c r="E25" s="485" t="n"/>
      <c r="F25" s="711">
        <f>VLOOKUP(B25,'[1]Tính điểm'!$B$4:$BI$38,57,0)</f>
        <v/>
      </c>
      <c r="G25" s="712" t="n"/>
      <c r="H25" s="713" t="n"/>
      <c r="I25" s="485" t="n"/>
      <c r="J25" s="714" t="n"/>
    </row>
    <row r="26" ht="20" customHeight="1" s="393">
      <c r="A26" s="485" t="n">
        <v>20</v>
      </c>
      <c r="B26" s="485">
        <f>'Thông tin HV'!B21</f>
        <v/>
      </c>
      <c r="C26" s="709">
        <f>'Thông tin HV'!C21</f>
        <v/>
      </c>
      <c r="D26" s="710" t="n"/>
      <c r="E26" s="485" t="n"/>
      <c r="F26" s="711">
        <f>VLOOKUP(B26,'[1]Tính điểm'!$B$4:$BI$38,57,0)</f>
        <v/>
      </c>
      <c r="G26" s="712" t="n"/>
      <c r="H26" s="713" t="n"/>
      <c r="I26" s="485" t="n"/>
      <c r="J26" s="714" t="n"/>
    </row>
    <row r="27" ht="20" customHeight="1" s="393">
      <c r="A27" s="485" t="n">
        <v>21</v>
      </c>
      <c r="B27" s="485">
        <f>'Thông tin HV'!B22</f>
        <v/>
      </c>
      <c r="C27" s="709">
        <f>'Thông tin HV'!C22</f>
        <v/>
      </c>
      <c r="D27" s="710" t="n"/>
      <c r="E27" s="485" t="n"/>
      <c r="F27" s="711">
        <f>VLOOKUP(B27,'[1]Tính điểm'!$B$4:$BI$38,57,0)</f>
        <v/>
      </c>
      <c r="G27" s="712" t="n"/>
      <c r="H27" s="713" t="n"/>
      <c r="I27" s="485" t="n"/>
      <c r="J27" s="714" t="n"/>
    </row>
    <row r="28" ht="20" customHeight="1" s="393">
      <c r="A28" s="485" t="n">
        <v>22</v>
      </c>
      <c r="B28" s="485">
        <f>'Thông tin HV'!B23</f>
        <v/>
      </c>
      <c r="C28" s="709">
        <f>'Thông tin HV'!C23</f>
        <v/>
      </c>
      <c r="D28" s="710" t="n"/>
      <c r="E28" s="485" t="n"/>
      <c r="F28" s="711">
        <f>VLOOKUP(B28,'[1]Tính điểm'!$B$4:$BI$38,57,0)</f>
        <v/>
      </c>
      <c r="G28" s="712" t="n"/>
      <c r="H28" s="713" t="n"/>
      <c r="I28" s="485" t="n"/>
      <c r="J28" s="714" t="n"/>
    </row>
    <row r="29" ht="20" customHeight="1" s="393">
      <c r="A29" s="485" t="n">
        <v>23</v>
      </c>
      <c r="B29" s="485">
        <f>'Thông tin HV'!B24</f>
        <v/>
      </c>
      <c r="C29" s="709">
        <f>'Thông tin HV'!C24</f>
        <v/>
      </c>
      <c r="D29" s="710" t="n"/>
      <c r="E29" s="485" t="n"/>
      <c r="F29" s="711">
        <f>VLOOKUP(B29,'[1]Tính điểm'!$B$4:$BI$38,57,0)</f>
        <v/>
      </c>
      <c r="G29" s="712" t="n"/>
      <c r="H29" s="713" t="n"/>
      <c r="I29" s="485" t="n"/>
      <c r="J29" s="714" t="n"/>
    </row>
    <row r="30" ht="20" customHeight="1" s="393">
      <c r="A30" s="485" t="n">
        <v>24</v>
      </c>
      <c r="B30" s="485">
        <f>'Thông tin HV'!B25</f>
        <v/>
      </c>
      <c r="C30" s="709">
        <f>'Thông tin HV'!C25</f>
        <v/>
      </c>
      <c r="D30" s="710" t="n"/>
      <c r="E30" s="485" t="n"/>
      <c r="F30" s="711">
        <f>VLOOKUP(B30,'[1]Tính điểm'!$B$4:$BI$38,57,0)</f>
        <v/>
      </c>
      <c r="G30" s="712" t="n"/>
      <c r="H30" s="713" t="n"/>
      <c r="I30" s="485" t="n"/>
      <c r="J30" s="714" t="n"/>
    </row>
    <row r="31" ht="20" customHeight="1" s="393">
      <c r="A31" s="485" t="n">
        <v>25</v>
      </c>
      <c r="B31" s="485">
        <f>'Thông tin HV'!B26</f>
        <v/>
      </c>
      <c r="C31" s="709">
        <f>'Thông tin HV'!C26</f>
        <v/>
      </c>
      <c r="D31" s="710" t="n"/>
      <c r="E31" s="485" t="n"/>
      <c r="F31" s="711">
        <f>VLOOKUP(B31,'[1]Tính điểm'!$B$4:$BI$38,57,0)</f>
        <v/>
      </c>
      <c r="G31" s="712" t="n"/>
      <c r="H31" s="713" t="n"/>
      <c r="I31" s="485" t="n"/>
      <c r="J31" s="714" t="n"/>
    </row>
    <row r="32" ht="20" customHeight="1" s="393">
      <c r="A32" s="485" t="n">
        <v>26</v>
      </c>
      <c r="B32" s="485">
        <f>'Thông tin HV'!B27</f>
        <v/>
      </c>
      <c r="C32" s="709">
        <f>'Thông tin HV'!C27</f>
        <v/>
      </c>
      <c r="D32" s="710" t="n"/>
      <c r="E32" s="485" t="n"/>
      <c r="F32" s="711">
        <f>VLOOKUP(B32,'[1]Tính điểm'!$B$4:$BI$38,57,0)</f>
        <v/>
      </c>
      <c r="G32" s="712" t="n"/>
      <c r="H32" s="713" t="n"/>
      <c r="I32" s="485" t="n"/>
      <c r="J32" s="714" t="n"/>
    </row>
    <row r="33" ht="20" customHeight="1" s="393">
      <c r="A33" s="485" t="n">
        <v>27</v>
      </c>
      <c r="B33" s="485">
        <f>'Thông tin HV'!B28</f>
        <v/>
      </c>
      <c r="C33" s="709">
        <f>'Thông tin HV'!C28</f>
        <v/>
      </c>
      <c r="D33" s="710" t="n"/>
      <c r="E33" s="485" t="n"/>
      <c r="F33" s="711">
        <f>VLOOKUP(B33,'[1]Tính điểm'!$B$4:$BI$38,57,0)</f>
        <v/>
      </c>
      <c r="G33" s="712" t="n"/>
      <c r="H33" s="713" t="n"/>
      <c r="I33" s="485" t="n"/>
      <c r="J33" s="714" t="n"/>
    </row>
    <row r="34" ht="20" customHeight="1" s="393">
      <c r="A34" s="485" t="n">
        <v>28</v>
      </c>
      <c r="B34" s="485">
        <f>'Thông tin HV'!B29</f>
        <v/>
      </c>
      <c r="C34" s="709">
        <f>'Thông tin HV'!C29</f>
        <v/>
      </c>
      <c r="D34" s="710" t="n"/>
      <c r="E34" s="485" t="n"/>
      <c r="F34" s="711">
        <f>VLOOKUP(B34,'[1]Tính điểm'!$B$4:$BI$38,57,0)</f>
        <v/>
      </c>
      <c r="G34" s="712" t="n"/>
      <c r="H34" s="713" t="n"/>
      <c r="I34" s="485" t="n"/>
      <c r="J34" s="714" t="n"/>
    </row>
    <row r="35" ht="20" customHeight="1" s="393">
      <c r="A35" s="485" t="n">
        <v>29</v>
      </c>
      <c r="B35" s="485">
        <f>'Thông tin HV'!B30</f>
        <v/>
      </c>
      <c r="C35" s="709">
        <f>'Thông tin HV'!C30</f>
        <v/>
      </c>
      <c r="D35" s="710" t="n"/>
      <c r="E35" s="485" t="n"/>
      <c r="F35" s="711">
        <f>VLOOKUP(B35,'[1]Tính điểm'!$B$4:$BI$38,57,0)</f>
        <v/>
      </c>
      <c r="G35" s="712" t="n"/>
      <c r="H35" s="713" t="n"/>
      <c r="I35" s="485" t="n"/>
      <c r="J35" s="714" t="n"/>
    </row>
    <row r="36" ht="20" customHeight="1" s="393">
      <c r="A36" s="485" t="n">
        <v>30</v>
      </c>
      <c r="B36" s="485">
        <f>'Thông tin HV'!B31</f>
        <v/>
      </c>
      <c r="C36" s="709">
        <f>'Thông tin HV'!C31</f>
        <v/>
      </c>
      <c r="F36" s="711">
        <f>VLOOKUP(B36,'[1]Tính điểm'!$B$4:$BI$38,57,0)</f>
        <v/>
      </c>
    </row>
    <row r="37" ht="20" customHeight="1" s="393">
      <c r="A37" s="485" t="n">
        <v>31</v>
      </c>
      <c r="B37" s="485">
        <f>'Thông tin HV'!B32</f>
        <v/>
      </c>
      <c r="C37" s="709">
        <f>'Thông tin HV'!C32</f>
        <v/>
      </c>
      <c r="F37" s="711">
        <f>VLOOKUP(B37,'[1]Tính điểm'!$B$4:$BI$38,57,0)</f>
        <v/>
      </c>
    </row>
    <row r="38" ht="20" customHeight="1" s="393">
      <c r="A38" s="485" t="n">
        <v>32</v>
      </c>
      <c r="B38" s="485">
        <f>'Thông tin HV'!B33</f>
        <v/>
      </c>
      <c r="C38" s="709">
        <f>'Thông tin HV'!C33</f>
        <v/>
      </c>
      <c r="F38" s="711">
        <f>VLOOKUP(B38,'[1]Tính điểm'!$B$4:$BI$38,57,0)</f>
        <v/>
      </c>
    </row>
    <row r="39" ht="20" customHeight="1" s="393">
      <c r="A39" s="485" t="n">
        <v>33</v>
      </c>
      <c r="B39" s="485">
        <f>'Thông tin HV'!B34</f>
        <v/>
      </c>
      <c r="C39" s="709">
        <f>'Thông tin HV'!C34</f>
        <v/>
      </c>
      <c r="F39" s="711">
        <f>VLOOKUP(B39,'[1]Tính điểm'!$B$4:$BI$38,57,0)</f>
        <v/>
      </c>
    </row>
    <row r="40" ht="20" customHeight="1" s="393">
      <c r="A40" s="485" t="n">
        <v>34</v>
      </c>
      <c r="B40" s="485">
        <f>'Thông tin HV'!B35</f>
        <v/>
      </c>
      <c r="C40" s="709">
        <f>'Thông tin HV'!C35</f>
        <v/>
      </c>
      <c r="F40" s="711">
        <f>VLOOKUP(B40,'[1]Tính điểm'!$B$4:$BI$38,57,0)</f>
        <v/>
      </c>
    </row>
    <row r="41" ht="20" customHeight="1" s="393">
      <c r="A41" s="485" t="n">
        <v>35</v>
      </c>
      <c r="B41" s="485">
        <f>'Thông tin HV'!B36</f>
        <v/>
      </c>
      <c r="C41" s="709">
        <f>'Thông tin HV'!C36</f>
        <v/>
      </c>
      <c r="F41" s="711">
        <f>VLOOKUP(B41,'[1]Tính điểm'!$B$4:$BI$38,57,0)</f>
        <v/>
      </c>
    </row>
    <row r="42" ht="20" customHeight="1" s="393">
      <c r="F42" s="711">
        <f>VLOOKUP(B42,'[1]Tính điểm'!$B$4:$BI$38,57,0)</f>
        <v/>
      </c>
    </row>
    <row r="43" ht="20" customHeight="1" s="393">
      <c r="F43" s="711">
        <f>VLOOKUP(B43,'[1]Tính điểm'!$B$4:$BI$38,57,0)</f>
        <v/>
      </c>
    </row>
    <row r="44" ht="20" customHeight="1" s="393">
      <c r="F44" s="711">
        <f>VLOOKUP(B44,'[1]Tính điểm'!$B$4:$BI$38,57,0)</f>
        <v/>
      </c>
    </row>
  </sheetData>
  <mergeCells count="2">
    <mergeCell ref="A1:K1"/>
    <mergeCell ref="G6:H6"/>
  </mergeCells>
  <conditionalFormatting sqref="F4:BI38">
    <cfRule type="cellIs" rank="0" priority="2" equalAverage="0" operator="lessThan" aboveAverage="0" dxfId="4" text="" percent="0" bottom="0">
      <formula>5</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M49"/>
  <sheetViews>
    <sheetView showFormulas="0" showGridLines="1" showRowColHeaders="1" showZeros="1" rightToLeft="0" tabSelected="1" showOutlineSymbols="1" defaultGridColor="1" view="normal" topLeftCell="A1" colorId="64" zoomScale="85" zoomScaleNormal="85" zoomScalePageLayoutView="100" workbookViewId="0">
      <selection pane="topLeft" activeCell="F17" activeCellId="0" sqref="F17"/>
    </sheetView>
  </sheetViews>
  <sheetFormatPr baseColWidth="8" defaultColWidth="8.99609375" defaultRowHeight="15.4" zeroHeight="0" outlineLevelRow="0"/>
  <cols>
    <col width="5.12" customWidth="1" style="715" min="1" max="1"/>
    <col width="15.12" customWidth="1" style="715" min="2" max="3"/>
    <col width="10.93" customWidth="1" style="715" min="4" max="4"/>
    <col width="20.75" customWidth="1" style="715" min="5" max="5"/>
    <col width="33.12" customWidth="1" style="715" min="6" max="6"/>
    <col width="15.12" customWidth="1" style="715" min="7" max="7"/>
    <col width="11.24" customWidth="1" style="715" min="8" max="8"/>
    <col width="7.24" customWidth="1" style="715" min="9" max="10"/>
    <col width="13.37" customWidth="1" style="715" min="11" max="11"/>
    <col width="8.74" customWidth="1" style="715" min="12" max="12"/>
    <col width="6.74" customWidth="1" style="715" min="13" max="13"/>
    <col width="8.99" customWidth="1" style="715" min="14" max="257"/>
  </cols>
  <sheetData>
    <row r="1" ht="16.5" customHeight="1" s="393">
      <c r="A1" s="716" t="inlineStr">
        <is>
          <t>SỞ GIÁO DỤC VÀ ĐÀO TẠO TỈNH QUẢNG NGÃI</t>
        </is>
      </c>
      <c r="F1" s="717" t="inlineStr">
        <is>
          <t>CỘNG HÒA XÃ HỘI CHỦ NGHĨA VIỆT NAM</t>
        </is>
      </c>
      <c r="J1" s="717" t="n"/>
    </row>
    <row r="2" ht="20.25" customHeight="1" s="393">
      <c r="A2" s="717" t="inlineStr">
        <is>
          <t>TRUNG TÂM GDNN-GDTX KHU VỰC ĐĂK HÀ</t>
        </is>
      </c>
      <c r="F2" s="718" t="inlineStr">
        <is>
          <t>Độc lập - Tự do - Hạnh phúc</t>
        </is>
      </c>
      <c r="J2" s="718" t="n"/>
    </row>
    <row r="3" ht="33.75" customHeight="1" s="393">
      <c r="A3" s="719" t="inlineStr">
        <is>
          <t>DANH SÁCH CÔNG NHẬN TỐT NGHIỆP</t>
        </is>
      </c>
      <c r="J3" s="719" t="n"/>
    </row>
    <row r="4" ht="17.25" customHeight="1" s="393">
      <c r="A4" s="720">
        <f>"Tham gia lớp Đào tạo Nghề: "&amp;UPPER('KHÓA HỌC'!D5)&amp;"; Khóa: "&amp;'KHÓA HỌC'!D3&amp;"; Năm "&amp;'KHÓA HỌC'!D4</f>
        <v/>
      </c>
      <c r="J4" s="720" t="n"/>
    </row>
    <row r="5" ht="16.5" customHeight="1" s="393">
      <c r="A5" s="721">
        <f>"(Kèm theo Quyết định số:       /QĐ-GDNN-GDTX ngày      tháng    năm "&amp;'THỐNG KÊ'!E5&amp;" của Giám đốc Trung tâm GDNN-GDTX huyện ĐăkTô)"</f>
        <v/>
      </c>
      <c r="J5" s="722" t="n"/>
    </row>
    <row r="6" ht="16.5" customHeight="1" s="393">
      <c r="A6" s="722" t="n"/>
      <c r="B6" s="722" t="n"/>
      <c r="C6" s="722" t="n"/>
      <c r="D6" s="722" t="n"/>
      <c r="E6" s="722" t="n"/>
      <c r="F6" s="722" t="n"/>
      <c r="G6" s="722" t="n"/>
      <c r="H6" s="722" t="n"/>
      <c r="I6" s="722" t="n"/>
      <c r="J6" s="722" t="n"/>
    </row>
    <row r="7" ht="41.25" customFormat="1" customHeight="1" s="715">
      <c r="A7" s="723" t="inlineStr">
        <is>
          <t>Số
TT</t>
        </is>
      </c>
      <c r="B7" s="724" t="inlineStr">
        <is>
          <t>Họ và tên</t>
        </is>
      </c>
      <c r="C7" s="407" t="n"/>
      <c r="D7" s="723" t="inlineStr">
        <is>
          <t>Ngày sinh</t>
        </is>
      </c>
      <c r="E7" s="723" t="inlineStr">
        <is>
          <t>Nguyên quán</t>
        </is>
      </c>
      <c r="F7" s="723" t="inlineStr">
        <is>
          <t>Nơi cư trú</t>
        </is>
      </c>
      <c r="G7" s="723" t="inlineStr">
        <is>
          <t>Điểm tổng kết
khóa học</t>
        </is>
      </c>
      <c r="H7" s="723" t="inlineStr">
        <is>
          <t>Xếp loại
tốt nghiệp</t>
        </is>
      </c>
      <c r="I7" s="723" t="inlineStr">
        <is>
          <t>Ghi chú</t>
        </is>
      </c>
      <c r="J7" s="725" t="n"/>
      <c r="K7" s="726" t="inlineStr">
        <is>
          <t>Thống kê</t>
        </is>
      </c>
    </row>
    <row r="8" ht="18" customFormat="1" customHeight="1" s="727">
      <c r="A8" s="728">
        <f>IFERROR(AGGREGATE(15, 6, (ROW('Điểm KH'!$BJ$4:$BJ$60)-3)/('Điểm KH'!$BJ$4:$BJ$60="x"), ROWS($1:1)), "")</f>
        <v/>
      </c>
      <c r="B8" s="476">
        <f>IF(A8="","", PROPER(TRIM(LEFT(TRIM(INDEX('Thông tin HV'!$C$4:$C$60, A8)),LEN(TRIM(INDEX('Thông tin HV'!$C$4:$C$60, A8)))-LEN(C8)))))</f>
        <v/>
      </c>
      <c r="C8" s="476">
        <f>IF(A8="","", PROPER(TRIM(RIGHT(SUBSTITUTE(TRIM(INDEX('Thông tin HV'!$C$4:$C$60, A8))," ",REPT(" ",100)),100))))</f>
        <v/>
      </c>
      <c r="D8" s="526">
        <f>IF(A8="","", INDEX('Thông tin HV'!$D$4:$D$60, A8))</f>
        <v/>
      </c>
      <c r="E8" s="729">
        <f>IF(A8="","", INDEX('Thông tin HV'!$O$4:$O$60, A8))</f>
        <v/>
      </c>
      <c r="F8" s="729">
        <f>IF(A8="","", INDEX('Thông tin HV'!$P$4:$P$60, A8))</f>
        <v/>
      </c>
      <c r="G8" s="730">
        <f>IF(A8="","", INDEX('Điểm KH'!$BH$4:$BH$60, A8))</f>
        <v/>
      </c>
      <c r="H8" s="731">
        <f>IF(A8="","", INDEX('Điểm KH'!$BI$4:$BI$60, A8))</f>
        <v/>
      </c>
      <c r="I8" s="732" t="n"/>
      <c r="J8" s="733" t="n"/>
      <c r="K8" s="717" t="inlineStr">
        <is>
          <t>Kết quả cuối khóa học</t>
        </is>
      </c>
    </row>
    <row r="9" ht="18" customFormat="1" customHeight="1" s="727">
      <c r="A9" s="734">
        <f>IFERROR(AGGREGATE(15, 6, (ROW('Điểm KH'!$BJ$4:$BJ$60)-3)/('Điểm KH'!$BJ$4:$BJ$60="x"), ROWS($1:2)), "")</f>
        <v/>
      </c>
      <c r="B9" s="476">
        <f>IF(A9="","", PROPER(TRIM(LEFT(TRIM(INDEX('Thông tin HV'!$C$4:$C$60, A9)),LEN(TRIM(INDEX('Thông tin HV'!$C$4:$C$60, A9)))-LEN(C9)))))</f>
        <v/>
      </c>
      <c r="C9" s="476">
        <f>IF(A9="","", PROPER(TRIM(RIGHT(SUBSTITUTE(TRIM(INDEX('Thông tin HV'!$C$4:$C$60, A9))," ",REPT(" ",100)),100))))</f>
        <v/>
      </c>
      <c r="D9" s="526">
        <f>IF(A9="","", INDEX('Thông tin HV'!$D$4:$D$60, A9))</f>
        <v/>
      </c>
      <c r="E9" s="735">
        <f>IF(A9="","", INDEX('Thông tin HV'!$O$4:$O$60, A9))</f>
        <v/>
      </c>
      <c r="F9" s="735">
        <f>IF(A9="","", INDEX('Thông tin HV'!$P$4:$P$60, A9))</f>
        <v/>
      </c>
      <c r="G9" s="736">
        <f>IF(A9="","", INDEX('Điểm KH'!$BH$4:$BH$60, A9))</f>
        <v/>
      </c>
      <c r="H9" s="737">
        <f>IF(A9="","", INDEX('Điểm KH'!$BI$4:$BI$60, A9))</f>
        <v/>
      </c>
      <c r="I9" s="738" t="n"/>
      <c r="J9" s="733" t="n"/>
      <c r="K9" s="727" t="inlineStr">
        <is>
          <t>Xếp loại</t>
        </is>
      </c>
      <c r="L9" s="727" t="inlineStr">
        <is>
          <t>Số lượng</t>
        </is>
      </c>
      <c r="M9" s="727" t="inlineStr">
        <is>
          <t>%</t>
        </is>
      </c>
    </row>
    <row r="10" ht="18" customFormat="1" customHeight="1" s="727">
      <c r="A10" s="734">
        <f>IFERROR(AGGREGATE(15, 6, (ROW('Điểm KH'!$BJ$4:$BJ$60)-3)/('Điểm KH'!$BJ$4:$BJ$60="x"), ROWS($1:3)), "")</f>
        <v/>
      </c>
      <c r="B10" s="476">
        <f>IF(A10="","", PROPER(TRIM(LEFT(TRIM(INDEX('Thông tin HV'!$C$4:$C$60, A10)),LEN(TRIM(INDEX('Thông tin HV'!$C$4:$C$60, A10)))-LEN(C10)))))</f>
        <v/>
      </c>
      <c r="C10" s="476">
        <f>IF(A10="","", PROPER(TRIM(RIGHT(SUBSTITUTE(TRIM(INDEX('Thông tin HV'!$C$4:$C$60, A10))," ",REPT(" ",100)),100))))</f>
        <v/>
      </c>
      <c r="D10" s="526">
        <f>IF(A10="","", INDEX('Thông tin HV'!$D$4:$D$60, A10))</f>
        <v/>
      </c>
      <c r="E10" s="735">
        <f>IF(A10="","", INDEX('Thông tin HV'!$O$4:$O$60, A10))</f>
        <v/>
      </c>
      <c r="F10" s="735">
        <f>IF(A10="","", INDEX('Thông tin HV'!$P$4:$P$60, A10))</f>
        <v/>
      </c>
      <c r="G10" s="736">
        <f>IF(A10="","", INDEX('Điểm KH'!$BH$4:$BH$60, A10))</f>
        <v/>
      </c>
      <c r="H10" s="737">
        <f>IF(A10="","", INDEX('Điểm KH'!$BI$4:$BI$60, A10))</f>
        <v/>
      </c>
      <c r="I10" s="738" t="n"/>
      <c r="J10" s="733" t="n"/>
      <c r="K10" s="727" t="inlineStr">
        <is>
          <t>Xuất sắc</t>
        </is>
      </c>
      <c r="L10" s="727">
        <f>COUNTIF(H8:H38,"Xuất sắc")</f>
        <v/>
      </c>
      <c r="M10" s="739">
        <f>L10/SUM($L$10:$L$14)</f>
        <v/>
      </c>
    </row>
    <row r="11" ht="18" customFormat="1" customHeight="1" s="727">
      <c r="A11" s="734">
        <f>IFERROR(AGGREGATE(15, 6, (ROW('Điểm KH'!$BJ$4:$BJ$60)-3)/('Điểm KH'!$BJ$4:$BJ$60="x"), ROWS($1:4)), "")</f>
        <v/>
      </c>
      <c r="B11" s="476">
        <f>IF(A11="","", PROPER(TRIM(LEFT(TRIM(INDEX('Thông tin HV'!$C$4:$C$60, A11)),LEN(TRIM(INDEX('Thông tin HV'!$C$4:$C$60, A11)))-LEN(C11)))))</f>
        <v/>
      </c>
      <c r="C11" s="476">
        <f>IF(A11="","", PROPER(TRIM(RIGHT(SUBSTITUTE(TRIM(INDEX('Thông tin HV'!$C$4:$C$60, A11))," ",REPT(" ",100)),100))))</f>
        <v/>
      </c>
      <c r="D11" s="526">
        <f>IF(A11="","", INDEX('Thông tin HV'!$D$4:$D$60, A11))</f>
        <v/>
      </c>
      <c r="E11" s="735">
        <f>IF(A11="","", INDEX('Thông tin HV'!$O$4:$O$60, A11))</f>
        <v/>
      </c>
      <c r="F11" s="735">
        <f>IF(A11="","", INDEX('Thông tin HV'!$P$4:$P$60, A11))</f>
        <v/>
      </c>
      <c r="G11" s="736">
        <f>IF(A11="","", INDEX('Điểm KH'!$BH$4:$BH$60, A11))</f>
        <v/>
      </c>
      <c r="H11" s="737">
        <f>IF(A11="","", INDEX('Điểm KH'!$BI$4:$BI$60, A11))</f>
        <v/>
      </c>
      <c r="I11" s="738" t="n"/>
      <c r="J11" s="733" t="n"/>
      <c r="K11" s="727" t="inlineStr">
        <is>
          <t>Giỏi</t>
        </is>
      </c>
      <c r="L11" s="727">
        <f>COUNTIF(H8:H38,"Giỏi")</f>
        <v/>
      </c>
      <c r="M11" s="739">
        <f>L11/SUM($L$10:$L$14)</f>
        <v/>
      </c>
    </row>
    <row r="12" ht="18" customFormat="1" customHeight="1" s="727">
      <c r="A12" s="734">
        <f>IFERROR(AGGREGATE(15, 6, (ROW('Điểm KH'!$BJ$4:$BJ$60)-3)/('Điểm KH'!$BJ$4:$BJ$60="x"), ROWS($1:5)), "")</f>
        <v/>
      </c>
      <c r="B12" s="476">
        <f>IF(A12="","", PROPER(TRIM(LEFT(TRIM(INDEX('Thông tin HV'!$C$4:$C$60, A12)),LEN(TRIM(INDEX('Thông tin HV'!$C$4:$C$60, A12)))-LEN(C12)))))</f>
        <v/>
      </c>
      <c r="C12" s="476">
        <f>IF(A12="","", PROPER(TRIM(RIGHT(SUBSTITUTE(TRIM(INDEX('Thông tin HV'!$C$4:$C$60, A12))," ",REPT(" ",100)),100))))</f>
        <v/>
      </c>
      <c r="D12" s="526">
        <f>IF(A12="","", INDEX('Thông tin HV'!$D$4:$D$60, A12))</f>
        <v/>
      </c>
      <c r="E12" s="735">
        <f>IF(A12="","", INDEX('Thông tin HV'!$O$4:$O$60, A12))</f>
        <v/>
      </c>
      <c r="F12" s="735">
        <f>IF(A12="","", INDEX('Thông tin HV'!$P$4:$P$60, A12))</f>
        <v/>
      </c>
      <c r="G12" s="736">
        <f>IF(A12="","", INDEX('Điểm KH'!$BH$4:$BH$60, A12))</f>
        <v/>
      </c>
      <c r="H12" s="737">
        <f>IF(A12="","", INDEX('Điểm KH'!$BI$4:$BI$60, A12))</f>
        <v/>
      </c>
      <c r="I12" s="738" t="n"/>
      <c r="J12" s="733" t="n"/>
      <c r="K12" s="727" t="inlineStr">
        <is>
          <t>Khá</t>
        </is>
      </c>
      <c r="L12" s="727">
        <f>COUNTIF(H8:H38,"Khá")</f>
        <v/>
      </c>
      <c r="M12" s="739">
        <f>L12/SUM($L$10:$L$14)</f>
        <v/>
      </c>
    </row>
    <row r="13" ht="18" customFormat="1" customHeight="1" s="727">
      <c r="A13" s="734">
        <f>IFERROR(AGGREGATE(15, 6, (ROW('Điểm KH'!$BJ$4:$BJ$60)-3)/('Điểm KH'!$BJ$4:$BJ$60="x"), ROWS($1:6)), "")</f>
        <v/>
      </c>
      <c r="B13" s="476">
        <f>IF(A13="","", PROPER(TRIM(LEFT(TRIM(INDEX('Thông tin HV'!$C$4:$C$60, A13)),LEN(TRIM(INDEX('Thông tin HV'!$C$4:$C$60, A13)))-LEN(C13)))))</f>
        <v/>
      </c>
      <c r="C13" s="476">
        <f>IF(A13="","", PROPER(TRIM(RIGHT(SUBSTITUTE(TRIM(INDEX('Thông tin HV'!$C$4:$C$60, A13))," ",REPT(" ",100)),100))))</f>
        <v/>
      </c>
      <c r="D13" s="526">
        <f>IF(A13="","", INDEX('Thông tin HV'!$D$4:$D$60, A13))</f>
        <v/>
      </c>
      <c r="E13" s="735">
        <f>IF(A13="","", INDEX('Thông tin HV'!$O$4:$O$60, A13))</f>
        <v/>
      </c>
      <c r="F13" s="735">
        <f>IF(A13="","", INDEX('Thông tin HV'!$P$4:$P$60, A13))</f>
        <v/>
      </c>
      <c r="G13" s="736">
        <f>IF(A13="","", INDEX('Điểm KH'!$BH$4:$BH$60, A13))</f>
        <v/>
      </c>
      <c r="H13" s="737">
        <f>IF(A13="","", INDEX('Điểm KH'!$BI$4:$BI$60, A13))</f>
        <v/>
      </c>
      <c r="I13" s="738" t="n"/>
      <c r="J13" s="733" t="n"/>
      <c r="K13" s="727" t="inlineStr">
        <is>
          <t>TB - Khá</t>
        </is>
      </c>
      <c r="L13" s="727">
        <f>COUNTIF(H8:H38,"TB-Khá")</f>
        <v/>
      </c>
      <c r="M13" s="739">
        <f>L13/SUM($L$10:$L$14)</f>
        <v/>
      </c>
    </row>
    <row r="14" ht="18" customFormat="1" customHeight="1" s="727">
      <c r="A14" s="734">
        <f>IFERROR(AGGREGATE(15, 6, (ROW('Điểm KH'!$BJ$4:$BJ$60)-3)/('Điểm KH'!$BJ$4:$BJ$60="x"), ROWS($1:7)), "")</f>
        <v/>
      </c>
      <c r="B14" s="476">
        <f>IF(A14="","", PROPER(TRIM(LEFT(TRIM(INDEX('Thông tin HV'!$C$4:$C$60, A14)),LEN(TRIM(INDEX('Thông tin HV'!$C$4:$C$60, A14)))-LEN(C14)))))</f>
        <v/>
      </c>
      <c r="C14" s="476">
        <f>IF(A14="","", PROPER(TRIM(RIGHT(SUBSTITUTE(TRIM(INDEX('Thông tin HV'!$C$4:$C$60, A14))," ",REPT(" ",100)),100))))</f>
        <v/>
      </c>
      <c r="D14" s="526">
        <f>IF(A14="","", INDEX('Thông tin HV'!$D$4:$D$60, A14))</f>
        <v/>
      </c>
      <c r="E14" s="735">
        <f>IF(A14="","", INDEX('Thông tin HV'!$O$4:$O$60, A14))</f>
        <v/>
      </c>
      <c r="F14" s="735">
        <f>IF(A14="","", INDEX('Thông tin HV'!$P$4:$P$60, A14))</f>
        <v/>
      </c>
      <c r="G14" s="736">
        <f>IF(A14="","", INDEX('Điểm KH'!$BH$4:$BH$60, A14))</f>
        <v/>
      </c>
      <c r="H14" s="737">
        <f>IF(A14="","", INDEX('Điểm KH'!$BI$4:$BI$60, A14))</f>
        <v/>
      </c>
      <c r="I14" s="738" t="n"/>
      <c r="J14" s="733" t="n"/>
      <c r="K14" s="727" t="inlineStr">
        <is>
          <t>Trung bình</t>
        </is>
      </c>
      <c r="L14" s="727">
        <f>COUNTIF(H8:H38,"Trung bình")</f>
        <v/>
      </c>
      <c r="M14" s="739">
        <f>L14/SUM($L$10:$L$14)</f>
        <v/>
      </c>
    </row>
    <row r="15" ht="18" customFormat="1" customHeight="1" s="727">
      <c r="A15" s="734">
        <f>IFERROR(AGGREGATE(15, 6, (ROW('Điểm KH'!$BJ$4:$BJ$60)-3)/('Điểm KH'!$BJ$4:$BJ$60="x"), ROWS($1:8)), "")</f>
        <v/>
      </c>
      <c r="B15" s="476">
        <f>IF(A15="","", PROPER(TRIM(LEFT(TRIM(INDEX('Thông tin HV'!$C$4:$C$60, A15)),LEN(TRIM(INDEX('Thông tin HV'!$C$4:$C$60, A15)))-LEN(C15)))))</f>
        <v/>
      </c>
      <c r="C15" s="476">
        <f>IF(A15="","", PROPER(TRIM(RIGHT(SUBSTITUTE(TRIM(INDEX('Thông tin HV'!$C$4:$C$60, A15))," ",REPT(" ",100)),100))))</f>
        <v/>
      </c>
      <c r="D15" s="526">
        <f>IF(A15="","", INDEX('Thông tin HV'!$D$4:$D$60, A15))</f>
        <v/>
      </c>
      <c r="E15" s="735">
        <f>IF(A15="","", INDEX('Thông tin HV'!$O$4:$O$60, A15))</f>
        <v/>
      </c>
      <c r="F15" s="735">
        <f>IF(A15="","", INDEX('Thông tin HV'!$P$4:$P$60, A15))</f>
        <v/>
      </c>
      <c r="G15" s="736">
        <f>IF(A15="","", INDEX('Điểm KH'!$BH$4:$BH$60, A15))</f>
        <v/>
      </c>
      <c r="H15" s="737">
        <f>IF(A15="","", INDEX('Điểm KH'!$BI$4:$BI$60, A15))</f>
        <v/>
      </c>
      <c r="I15" s="738" t="n"/>
      <c r="J15" s="733" t="n"/>
    </row>
    <row r="16" ht="18" customFormat="1" customHeight="1" s="727">
      <c r="A16" s="734">
        <f>IFERROR(AGGREGATE(15, 6, (ROW('Điểm KH'!$BJ$4:$BJ$60)-3)/('Điểm KH'!$BJ$4:$BJ$60="x"), ROWS($1:9)), "")</f>
        <v/>
      </c>
      <c r="B16" s="476">
        <f>IF(A16="","", PROPER(TRIM(LEFT(TRIM(INDEX('Thông tin HV'!$C$4:$C$60, A16)),LEN(TRIM(INDEX('Thông tin HV'!$C$4:$C$60, A16)))-LEN(C16)))))</f>
        <v/>
      </c>
      <c r="C16" s="476">
        <f>IF(A16="","", PROPER(TRIM(RIGHT(SUBSTITUTE(TRIM(INDEX('Thông tin HV'!$C$4:$C$60, A16))," ",REPT(" ",100)),100))))</f>
        <v/>
      </c>
      <c r="D16" s="526">
        <f>IF(A16="","", INDEX('Thông tin HV'!$D$4:$D$60, A16))</f>
        <v/>
      </c>
      <c r="E16" s="735">
        <f>IF(A16="","", INDEX('Thông tin HV'!$O$4:$O$60, A16))</f>
        <v/>
      </c>
      <c r="F16" s="735">
        <f>IF(A16="","", INDEX('Thông tin HV'!$P$4:$P$60, A16))</f>
        <v/>
      </c>
      <c r="G16" s="736">
        <f>IF(A16="","", INDEX('Điểm KH'!$BH$4:$BH$60, A16))</f>
        <v/>
      </c>
      <c r="H16" s="737">
        <f>IF(A16="","", INDEX('Điểm KH'!$BI$4:$BI$60, A16))</f>
        <v/>
      </c>
      <c r="I16" s="738" t="n"/>
      <c r="J16" s="733" t="n"/>
    </row>
    <row r="17" ht="18" customFormat="1" customHeight="1" s="727">
      <c r="A17" s="734">
        <f>IFERROR(AGGREGATE(15, 6, (ROW('Điểm KH'!$BJ$4:$BJ$60)-3)/('Điểm KH'!$BJ$4:$BJ$60="x"), ROWS($1:10)), "")</f>
        <v/>
      </c>
      <c r="B17" s="476">
        <f>IF(A17="","", PROPER(TRIM(LEFT(TRIM(INDEX('Thông tin HV'!$C$4:$C$60, A17)),LEN(TRIM(INDEX('Thông tin HV'!$C$4:$C$60, A17)))-LEN(C17)))))</f>
        <v/>
      </c>
      <c r="C17" s="476">
        <f>IF(A17="","", PROPER(TRIM(RIGHT(SUBSTITUTE(TRIM(INDEX('Thông tin HV'!$C$4:$C$60, A17))," ",REPT(" ",100)),100))))</f>
        <v/>
      </c>
      <c r="D17" s="526">
        <f>IF(A17="","", INDEX('Thông tin HV'!$D$4:$D$60, A17))</f>
        <v/>
      </c>
      <c r="E17" s="735">
        <f>IF(A17="","", INDEX('Thông tin HV'!$O$4:$O$60, A17))</f>
        <v/>
      </c>
      <c r="F17" s="735">
        <f>IF(A17="","", INDEX('Thông tin HV'!$P$4:$P$60, A17))</f>
        <v/>
      </c>
      <c r="G17" s="736">
        <f>IF(A17="","", INDEX('Điểm KH'!$BH$4:$BH$60, A17))</f>
        <v/>
      </c>
      <c r="H17" s="737">
        <f>IF(A17="","", INDEX('Điểm KH'!$BI$4:$BI$60, A17))</f>
        <v/>
      </c>
      <c r="I17" s="738" t="n"/>
      <c r="J17" s="733" t="n"/>
    </row>
    <row r="18" ht="18" customFormat="1" customHeight="1" s="727">
      <c r="A18" s="734">
        <f>IFERROR(AGGREGATE(15, 6, (ROW('Điểm KH'!$BJ$4:$BJ$60)-3)/('Điểm KH'!$BJ$4:$BJ$60="x"), ROWS($1:11)), "")</f>
        <v/>
      </c>
      <c r="B18" s="476">
        <f>IF(A18="","", PROPER(TRIM(LEFT(TRIM(INDEX('Thông tin HV'!$C$4:$C$60, A18)),LEN(TRIM(INDEX('Thông tin HV'!$C$4:$C$60, A18)))-LEN(C18)))))</f>
        <v/>
      </c>
      <c r="C18" s="476">
        <f>IF(A18="","", PROPER(TRIM(RIGHT(SUBSTITUTE(TRIM(INDEX('Thông tin HV'!$C$4:$C$60, A18))," ",REPT(" ",100)),100))))</f>
        <v/>
      </c>
      <c r="D18" s="526">
        <f>IF(A18="","", INDEX('Thông tin HV'!$D$4:$D$60, A18))</f>
        <v/>
      </c>
      <c r="E18" s="735">
        <f>IF(A18="","", INDEX('Thông tin HV'!$O$4:$O$60, A18))</f>
        <v/>
      </c>
      <c r="F18" s="735">
        <f>IF(A18="","", INDEX('Thông tin HV'!$P$4:$P$60, A18))</f>
        <v/>
      </c>
      <c r="G18" s="736">
        <f>IF(A18="","", INDEX('Điểm KH'!$BH$4:$BH$60, A18))</f>
        <v/>
      </c>
      <c r="H18" s="737">
        <f>IF(A18="","", INDEX('Điểm KH'!$BI$4:$BI$60, A18))</f>
        <v/>
      </c>
      <c r="I18" s="738" t="n"/>
      <c r="J18" s="733" t="n"/>
    </row>
    <row r="19" ht="18" customFormat="1" customHeight="1" s="727">
      <c r="A19" s="734">
        <f>IFERROR(AGGREGATE(15, 6, (ROW('Điểm KH'!$BJ$4:$BJ$60)-3)/('Điểm KH'!$BJ$4:$BJ$60="x"), ROWS($1:12)), "")</f>
        <v/>
      </c>
      <c r="B19" s="476">
        <f>IF(A19="","", PROPER(TRIM(LEFT(TRIM(INDEX('Thông tin HV'!$C$4:$C$60, A19)),LEN(TRIM(INDEX('Thông tin HV'!$C$4:$C$60, A19)))-LEN(C19)))))</f>
        <v/>
      </c>
      <c r="C19" s="476">
        <f>IF(A19="","", PROPER(TRIM(RIGHT(SUBSTITUTE(TRIM(INDEX('Thông tin HV'!$C$4:$C$60, A19))," ",REPT(" ",100)),100))))</f>
        <v/>
      </c>
      <c r="D19" s="526">
        <f>IF(A19="","", INDEX('Thông tin HV'!$D$4:$D$60, A19))</f>
        <v/>
      </c>
      <c r="E19" s="735">
        <f>IF(A19="","", INDEX('Thông tin HV'!$O$4:$O$60, A19))</f>
        <v/>
      </c>
      <c r="F19" s="735">
        <f>IF(A19="","", INDEX('Thông tin HV'!$P$4:$P$60, A19))</f>
        <v/>
      </c>
      <c r="G19" s="736">
        <f>IF(A19="","", INDEX('Điểm KH'!$BH$4:$BH$60, A19))</f>
        <v/>
      </c>
      <c r="H19" s="737">
        <f>IF(A19="","", INDEX('Điểm KH'!$BI$4:$BI$60, A19))</f>
        <v/>
      </c>
      <c r="I19" s="738" t="n"/>
      <c r="J19" s="733" t="n"/>
    </row>
    <row r="20" ht="18" customFormat="1" customHeight="1" s="727">
      <c r="A20" s="734">
        <f>IFERROR(AGGREGATE(15, 6, (ROW('Điểm KH'!$BJ$4:$BJ$60)-3)/('Điểm KH'!$BJ$4:$BJ$60="x"), ROWS($1:13)), "")</f>
        <v/>
      </c>
      <c r="B20" s="476">
        <f>IF(A20="","", PROPER(TRIM(LEFT(TRIM(INDEX('Thông tin HV'!$C$4:$C$60, A20)),LEN(TRIM(INDEX('Thông tin HV'!$C$4:$C$60, A20)))-LEN(C20)))))</f>
        <v/>
      </c>
      <c r="C20" s="476">
        <f>IF(A20="","", PROPER(TRIM(RIGHT(SUBSTITUTE(TRIM(INDEX('Thông tin HV'!$C$4:$C$60, A20))," ",REPT(" ",100)),100))))</f>
        <v/>
      </c>
      <c r="D20" s="526">
        <f>IF(A20="","", INDEX('Thông tin HV'!$D$4:$D$60, A20))</f>
        <v/>
      </c>
      <c r="E20" s="735">
        <f>IF(A20="","", INDEX('Thông tin HV'!$O$4:$O$60, A20))</f>
        <v/>
      </c>
      <c r="F20" s="735">
        <f>IF(A20="","", INDEX('Thông tin HV'!$P$4:$P$60, A20))</f>
        <v/>
      </c>
      <c r="G20" s="736">
        <f>IF(A20="","", INDEX('Điểm KH'!$BH$4:$BH$60, A20))</f>
        <v/>
      </c>
      <c r="H20" s="737">
        <f>IF(A20="","", INDEX('Điểm KH'!$BI$4:$BI$60, A20))</f>
        <v/>
      </c>
      <c r="I20" s="738" t="n"/>
      <c r="J20" s="733" t="n"/>
    </row>
    <row r="21" ht="18" customFormat="1" customHeight="1" s="727">
      <c r="A21" s="734">
        <f>IFERROR(AGGREGATE(15, 6, (ROW('Điểm KH'!$BJ$4:$BJ$60)-3)/('Điểm KH'!$BJ$4:$BJ$60="x"), ROWS($1:14)), "")</f>
        <v/>
      </c>
      <c r="B21" s="476">
        <f>IF(A21="","", PROPER(TRIM(LEFT(TRIM(INDEX('Thông tin HV'!$C$4:$C$60, A21)),LEN(TRIM(INDEX('Thông tin HV'!$C$4:$C$60, A21)))-LEN(C21)))))</f>
        <v/>
      </c>
      <c r="C21" s="476">
        <f>IF(A21="","", PROPER(TRIM(RIGHT(SUBSTITUTE(TRIM(INDEX('Thông tin HV'!$C$4:$C$60, A21))," ",REPT(" ",100)),100))))</f>
        <v/>
      </c>
      <c r="D21" s="526">
        <f>IF(A21="","", INDEX('Thông tin HV'!$D$4:$D$60, A21))</f>
        <v/>
      </c>
      <c r="E21" s="735">
        <f>IF(A21="","", INDEX('Thông tin HV'!$O$4:$O$60, A21))</f>
        <v/>
      </c>
      <c r="F21" s="735">
        <f>IF(A21="","", INDEX('Thông tin HV'!$P$4:$P$60, A21))</f>
        <v/>
      </c>
      <c r="G21" s="736">
        <f>IF(A21="","", INDEX('Điểm KH'!$BH$4:$BH$60, A21))</f>
        <v/>
      </c>
      <c r="H21" s="737">
        <f>IF(A21="","", INDEX('Điểm KH'!$BI$4:$BI$60, A21))</f>
        <v/>
      </c>
      <c r="I21" s="738" t="n"/>
      <c r="J21" s="733" t="n"/>
    </row>
    <row r="22" ht="18" customFormat="1" customHeight="1" s="727">
      <c r="A22" s="734">
        <f>IFERROR(AGGREGATE(15, 6, (ROW('Điểm KH'!$BJ$4:$BJ$60)-3)/('Điểm KH'!$BJ$4:$BJ$60="x"), ROWS($1:15)), "")</f>
        <v/>
      </c>
      <c r="B22" s="476">
        <f>IF(A22="","", PROPER(TRIM(LEFT(TRIM(INDEX('Thông tin HV'!$C$4:$C$60, A22)),LEN(TRIM(INDEX('Thông tin HV'!$C$4:$C$60, A22)))-LEN(C22)))))</f>
        <v/>
      </c>
      <c r="C22" s="476">
        <f>IF(A22="","", PROPER(TRIM(RIGHT(SUBSTITUTE(TRIM(INDEX('Thông tin HV'!$C$4:$C$60, A22))," ",REPT(" ",100)),100))))</f>
        <v/>
      </c>
      <c r="D22" s="526">
        <f>IF(A22="","", INDEX('Thông tin HV'!$D$4:$D$60, A22))</f>
        <v/>
      </c>
      <c r="E22" s="735">
        <f>IF(A22="","", INDEX('Thông tin HV'!$O$4:$O$60, A22))</f>
        <v/>
      </c>
      <c r="F22" s="735">
        <f>IF(A22="","", INDEX('Thông tin HV'!$P$4:$P$60, A22))</f>
        <v/>
      </c>
      <c r="G22" s="736">
        <f>IF(A22="","", INDEX('Điểm KH'!$BH$4:$BH$60, A22))</f>
        <v/>
      </c>
      <c r="H22" s="737">
        <f>IF(A22="","", INDEX('Điểm KH'!$BI$4:$BI$60, A22))</f>
        <v/>
      </c>
      <c r="I22" s="738" t="n"/>
      <c r="J22" s="733" t="n"/>
    </row>
    <row r="23" ht="18" customFormat="1" customHeight="1" s="727">
      <c r="A23" s="734">
        <f>IFERROR(AGGREGATE(15, 6, (ROW('Điểm KH'!$BJ$4:$BJ$60)-3)/('Điểm KH'!$BJ$4:$BJ$60="x"), ROWS($1:16)), "")</f>
        <v/>
      </c>
      <c r="B23" s="476">
        <f>IF(A23="","", PROPER(TRIM(LEFT(TRIM(INDEX('Thông tin HV'!$C$4:$C$60, A23)),LEN(TRIM(INDEX('Thông tin HV'!$C$4:$C$60, A23)))-LEN(C23)))))</f>
        <v/>
      </c>
      <c r="C23" s="476">
        <f>IF(A23="","", PROPER(TRIM(RIGHT(SUBSTITUTE(TRIM(INDEX('Thông tin HV'!$C$4:$C$60, A23))," ",REPT(" ",100)),100))))</f>
        <v/>
      </c>
      <c r="D23" s="526">
        <f>IF(A23="","", INDEX('Thông tin HV'!$D$4:$D$60, A23))</f>
        <v/>
      </c>
      <c r="E23" s="735">
        <f>IF(A23="","", INDEX('Thông tin HV'!$O$4:$O$60, A23))</f>
        <v/>
      </c>
      <c r="F23" s="735">
        <f>IF(A23="","", INDEX('Thông tin HV'!$P$4:$P$60, A23))</f>
        <v/>
      </c>
      <c r="G23" s="736">
        <f>IF(A23="","", INDEX('Điểm KH'!$BH$4:$BH$60, A23))</f>
        <v/>
      </c>
      <c r="H23" s="737">
        <f>IF(A23="","", INDEX('Điểm KH'!$BI$4:$BI$60, A23))</f>
        <v/>
      </c>
      <c r="I23" s="738" t="n"/>
      <c r="J23" s="733" t="n"/>
    </row>
    <row r="24" ht="18" customFormat="1" customHeight="1" s="727">
      <c r="A24" s="734">
        <f>IFERROR(AGGREGATE(15, 6, (ROW('Điểm KH'!$BJ$4:$BJ$60)-3)/('Điểm KH'!$BJ$4:$BJ$60="x"), ROWS($1:17)), "")</f>
        <v/>
      </c>
      <c r="B24" s="476">
        <f>IF(A24="","", PROPER(TRIM(LEFT(TRIM(INDEX('Thông tin HV'!$C$4:$C$60, A24)),LEN(TRIM(INDEX('Thông tin HV'!$C$4:$C$60, A24)))-LEN(C24)))))</f>
        <v/>
      </c>
      <c r="C24" s="476">
        <f>IF(A24="","", PROPER(TRIM(RIGHT(SUBSTITUTE(TRIM(INDEX('Thông tin HV'!$C$4:$C$60, A24))," ",REPT(" ",100)),100))))</f>
        <v/>
      </c>
      <c r="D24" s="526">
        <f>IF(A24="","", INDEX('Thông tin HV'!$D$4:$D$60, A24))</f>
        <v/>
      </c>
      <c r="E24" s="735">
        <f>IF(A24="","", INDEX('Thông tin HV'!$O$4:$O$60, A24))</f>
        <v/>
      </c>
      <c r="F24" s="735">
        <f>IF(A24="","", INDEX('Thông tin HV'!$P$4:$P$60, A24))</f>
        <v/>
      </c>
      <c r="G24" s="736">
        <f>IF(A24="","", INDEX('Điểm KH'!$BH$4:$BH$60, A24))</f>
        <v/>
      </c>
      <c r="H24" s="737">
        <f>IF(A24="","", INDEX('Điểm KH'!$BI$4:$BI$60, A24))</f>
        <v/>
      </c>
      <c r="I24" s="738" t="n"/>
      <c r="J24" s="733" t="n"/>
    </row>
    <row r="25" ht="18" customFormat="1" customHeight="1" s="727">
      <c r="A25" s="734">
        <f>IFERROR(AGGREGATE(15, 6, (ROW('Điểm KH'!$BJ$4:$BJ$60)-3)/('Điểm KH'!$BJ$4:$BJ$60="x"), ROWS($1:18)), "")</f>
        <v/>
      </c>
      <c r="B25" s="476">
        <f>IF(A25="","", PROPER(TRIM(LEFT(TRIM(INDEX('Thông tin HV'!$C$4:$C$60, A25)),LEN(TRIM(INDEX('Thông tin HV'!$C$4:$C$60, A25)))-LEN(C25)))))</f>
        <v/>
      </c>
      <c r="C25" s="476">
        <f>IF(A25="","", PROPER(TRIM(RIGHT(SUBSTITUTE(TRIM(INDEX('Thông tin HV'!$C$4:$C$60, A25))," ",REPT(" ",100)),100))))</f>
        <v/>
      </c>
      <c r="D25" s="526">
        <f>IF(A25="","", INDEX('Thông tin HV'!$D$4:$D$60, A25))</f>
        <v/>
      </c>
      <c r="E25" s="735">
        <f>IF(A25="","", INDEX('Thông tin HV'!$O$4:$O$60, A25))</f>
        <v/>
      </c>
      <c r="F25" s="735">
        <f>IF(A25="","", INDEX('Thông tin HV'!$P$4:$P$60, A25))</f>
        <v/>
      </c>
      <c r="G25" s="736">
        <f>IF(A25="","", INDEX('Điểm KH'!$BH$4:$BH$60, A25))</f>
        <v/>
      </c>
      <c r="H25" s="737">
        <f>IF(A25="","", INDEX('Điểm KH'!$BI$4:$BI$60, A25))</f>
        <v/>
      </c>
      <c r="I25" s="738" t="n"/>
      <c r="J25" s="733" t="n"/>
    </row>
    <row r="26" ht="18" customFormat="1" customHeight="1" s="727">
      <c r="A26" s="734">
        <f>IFERROR(AGGREGATE(15, 6, (ROW('Điểm KH'!$BJ$4:$BJ$60)-3)/('Điểm KH'!$BJ$4:$BJ$60="x"), ROWS($1:19)), "")</f>
        <v/>
      </c>
      <c r="B26" s="476">
        <f>IF(A26="","", PROPER(TRIM(LEFT(TRIM(INDEX('Thông tin HV'!$C$4:$C$60, A26)),LEN(TRIM(INDEX('Thông tin HV'!$C$4:$C$60, A26)))-LEN(C26)))))</f>
        <v/>
      </c>
      <c r="C26" s="476">
        <f>IF(A26="","", PROPER(TRIM(RIGHT(SUBSTITUTE(TRIM(INDEX('Thông tin HV'!$C$4:$C$60, A26))," ",REPT(" ",100)),100))))</f>
        <v/>
      </c>
      <c r="D26" s="526">
        <f>IF(A26="","", INDEX('Thông tin HV'!$D$4:$D$60, A26))</f>
        <v/>
      </c>
      <c r="E26" s="735">
        <f>IF(A26="","", INDEX('Thông tin HV'!$O$4:$O$60, A26))</f>
        <v/>
      </c>
      <c r="F26" s="735">
        <f>IF(A26="","", INDEX('Thông tin HV'!$P$4:$P$60, A26))</f>
        <v/>
      </c>
      <c r="G26" s="736">
        <f>IF(A26="","", INDEX('Điểm KH'!$BH$4:$BH$60, A26))</f>
        <v/>
      </c>
      <c r="H26" s="737">
        <f>IF(A26="","", INDEX('Điểm KH'!$BI$4:$BI$60, A26))</f>
        <v/>
      </c>
      <c r="I26" s="738" t="n"/>
      <c r="J26" s="733" t="n"/>
    </row>
    <row r="27" ht="18" customFormat="1" customHeight="1" s="727">
      <c r="A27" s="734">
        <f>IFERROR(AGGREGATE(15, 6, (ROW('Điểm KH'!$BJ$4:$BJ$60)-3)/('Điểm KH'!$BJ$4:$BJ$60="x"), ROWS($1:20)), "")</f>
        <v/>
      </c>
      <c r="B27" s="476">
        <f>IF(A27="","", PROPER(TRIM(LEFT(TRIM(INDEX('Thông tin HV'!$C$4:$C$60, A27)),LEN(TRIM(INDEX('Thông tin HV'!$C$4:$C$60, A27)))-LEN(C27)))))</f>
        <v/>
      </c>
      <c r="C27" s="476">
        <f>IF(A27="","", PROPER(TRIM(RIGHT(SUBSTITUTE(TRIM(INDEX('Thông tin HV'!$C$4:$C$60, A27))," ",REPT(" ",100)),100))))</f>
        <v/>
      </c>
      <c r="D27" s="526">
        <f>IF(A27="","", INDEX('Thông tin HV'!$D$4:$D$60, A27))</f>
        <v/>
      </c>
      <c r="E27" s="735">
        <f>IF(A27="","", INDEX('Thông tin HV'!$O$4:$O$60, A27))</f>
        <v/>
      </c>
      <c r="F27" s="735">
        <f>IF(A27="","", INDEX('Thông tin HV'!$P$4:$P$60, A27))</f>
        <v/>
      </c>
      <c r="G27" s="736">
        <f>IF(A27="","", INDEX('Điểm KH'!$BH$4:$BH$60, A27))</f>
        <v/>
      </c>
      <c r="H27" s="737">
        <f>IF(A27="","", INDEX('Điểm KH'!$BI$4:$BI$60, A27))</f>
        <v/>
      </c>
      <c r="I27" s="738" t="n"/>
      <c r="J27" s="733" t="n"/>
    </row>
    <row r="28" ht="18" customFormat="1" customHeight="1" s="727">
      <c r="A28" s="734">
        <f>IFERROR(AGGREGATE(15, 6, (ROW('Điểm KH'!$BJ$4:$BJ$60)-3)/('Điểm KH'!$BJ$4:$BJ$60="x"), ROWS($1:21)), "")</f>
        <v/>
      </c>
      <c r="B28" s="476">
        <f>IF(A28="","", PROPER(TRIM(LEFT(TRIM(INDEX('Thông tin HV'!$C$4:$C$60, A28)),LEN(TRIM(INDEX('Thông tin HV'!$C$4:$C$60, A28)))-LEN(C28)))))</f>
        <v/>
      </c>
      <c r="C28" s="476">
        <f>IF(A28="","", PROPER(TRIM(RIGHT(SUBSTITUTE(TRIM(INDEX('Thông tin HV'!$C$4:$C$60, A28))," ",REPT(" ",100)),100))))</f>
        <v/>
      </c>
      <c r="D28" s="526">
        <f>IF(A28="","", INDEX('Thông tin HV'!$D$4:$D$60, A28))</f>
        <v/>
      </c>
      <c r="E28" s="735">
        <f>IF(A28="","", INDEX('Thông tin HV'!$O$4:$O$60, A28))</f>
        <v/>
      </c>
      <c r="F28" s="735">
        <f>IF(A28="","", INDEX('Thông tin HV'!$P$4:$P$60, A28))</f>
        <v/>
      </c>
      <c r="G28" s="736">
        <f>IF(A28="","", INDEX('Điểm KH'!$BH$4:$BH$60, A28))</f>
        <v/>
      </c>
      <c r="H28" s="737">
        <f>IF(A28="","", INDEX('Điểm KH'!$BI$4:$BI$60, A28))</f>
        <v/>
      </c>
      <c r="I28" s="738" t="n"/>
      <c r="J28" s="733" t="n"/>
    </row>
    <row r="29" ht="18" customFormat="1" customHeight="1" s="727">
      <c r="A29" s="734">
        <f>IFERROR(AGGREGATE(15, 6, (ROW('Điểm KH'!$BJ$4:$BJ$60)-3)/('Điểm KH'!$BJ$4:$BJ$60="x"), ROWS($1:22)), "")</f>
        <v/>
      </c>
      <c r="B29" s="476">
        <f>IF(A29="","", PROPER(TRIM(LEFT(TRIM(INDEX('Thông tin HV'!$C$4:$C$60, A29)),LEN(TRIM(INDEX('Thông tin HV'!$C$4:$C$60, A29)))-LEN(C29)))))</f>
        <v/>
      </c>
      <c r="C29" s="476">
        <f>IF(A29="","", PROPER(TRIM(RIGHT(SUBSTITUTE(TRIM(INDEX('Thông tin HV'!$C$4:$C$60, A29))," ",REPT(" ",100)),100))))</f>
        <v/>
      </c>
      <c r="D29" s="526">
        <f>IF(A29="","", INDEX('Thông tin HV'!$D$4:$D$60, A29))</f>
        <v/>
      </c>
      <c r="E29" s="735">
        <f>IF(A29="","", INDEX('Thông tin HV'!$O$4:$O$60, A29))</f>
        <v/>
      </c>
      <c r="F29" s="735">
        <f>IF(A29="","", INDEX('Thông tin HV'!$P$4:$P$60, A29))</f>
        <v/>
      </c>
      <c r="G29" s="736">
        <f>IF(A29="","", INDEX('Điểm KH'!$BH$4:$BH$60, A29))</f>
        <v/>
      </c>
      <c r="H29" s="737">
        <f>IF(A29="","", INDEX('Điểm KH'!$BI$4:$BI$60, A29))</f>
        <v/>
      </c>
      <c r="I29" s="738" t="n"/>
      <c r="J29" s="733" t="n"/>
    </row>
    <row r="30" ht="18" customFormat="1" customHeight="1" s="727">
      <c r="A30" s="734">
        <f>IFERROR(AGGREGATE(15, 6, (ROW('Điểm KH'!$BJ$4:$BJ$60)-3)/('Điểm KH'!$BJ$4:$BJ$60="x"), ROWS($1:23)), "")</f>
        <v/>
      </c>
      <c r="B30" s="476">
        <f>IF(A30="","", PROPER(TRIM(LEFT(TRIM(INDEX('Thông tin HV'!$C$4:$C$60, A30)),LEN(TRIM(INDEX('Thông tin HV'!$C$4:$C$60, A30)))-LEN(C30)))))</f>
        <v/>
      </c>
      <c r="C30" s="476">
        <f>IF(A30="","", PROPER(TRIM(RIGHT(SUBSTITUTE(TRIM(INDEX('Thông tin HV'!$C$4:$C$60, A30))," ",REPT(" ",100)),100))))</f>
        <v/>
      </c>
      <c r="D30" s="526">
        <f>IF(A30="","", INDEX('Thông tin HV'!$D$4:$D$60, A30))</f>
        <v/>
      </c>
      <c r="E30" s="735">
        <f>IF(A30="","", INDEX('Thông tin HV'!$O$4:$O$60, A30))</f>
        <v/>
      </c>
      <c r="F30" s="735">
        <f>IF(A30="","", INDEX('Thông tin HV'!$P$4:$P$60, A30))</f>
        <v/>
      </c>
      <c r="G30" s="736">
        <f>IF(A30="","", INDEX('Điểm KH'!$BH$4:$BH$60, A30))</f>
        <v/>
      </c>
      <c r="H30" s="737">
        <f>IF(A30="","", INDEX('Điểm KH'!$BI$4:$BI$60, A30))</f>
        <v/>
      </c>
      <c r="I30" s="738" t="n"/>
      <c r="J30" s="733" t="n"/>
    </row>
    <row r="31" ht="18" customFormat="1" customHeight="1" s="727">
      <c r="A31" s="734">
        <f>IFERROR(AGGREGATE(15, 6, (ROW('Điểm KH'!$BJ$4:$BJ$60)-3)/('Điểm KH'!$BJ$4:$BJ$60="x"), ROWS($1:24)), "")</f>
        <v/>
      </c>
      <c r="B31" s="476">
        <f>IF(A31="","", PROPER(TRIM(LEFT(TRIM(INDEX('Thông tin HV'!$C$4:$C$60, A31)),LEN(TRIM(INDEX('Thông tin HV'!$C$4:$C$60, A31)))-LEN(C31)))))</f>
        <v/>
      </c>
      <c r="C31" s="476">
        <f>IF(A31="","", PROPER(TRIM(RIGHT(SUBSTITUTE(TRIM(INDEX('Thông tin HV'!$C$4:$C$60, A31))," ",REPT(" ",100)),100))))</f>
        <v/>
      </c>
      <c r="D31" s="526">
        <f>IF(A31="","", INDEX('Thông tin HV'!$D$4:$D$60, A31))</f>
        <v/>
      </c>
      <c r="E31" s="735">
        <f>IF(A31="","", INDEX('Thông tin HV'!$O$4:$O$60, A31))</f>
        <v/>
      </c>
      <c r="F31" s="735">
        <f>IF(A31="","", INDEX('Thông tin HV'!$P$4:$P$60, A31))</f>
        <v/>
      </c>
      <c r="G31" s="736">
        <f>IF(A31="","", INDEX('Điểm KH'!$BH$4:$BH$60, A31))</f>
        <v/>
      </c>
      <c r="H31" s="737">
        <f>IF(A31="","", INDEX('Điểm KH'!$BI$4:$BI$60, A31))</f>
        <v/>
      </c>
      <c r="I31" s="738" t="n"/>
      <c r="J31" s="733" t="n"/>
    </row>
    <row r="32" ht="18" customFormat="1" customHeight="1" s="727">
      <c r="A32" s="734">
        <f>IFERROR(AGGREGATE(15, 6, (ROW('Điểm KH'!$BJ$4:$BJ$60)-3)/('Điểm KH'!$BJ$4:$BJ$60="x"), ROWS($1:25)), "")</f>
        <v/>
      </c>
      <c r="B32" s="476">
        <f>IF(A32="","", PROPER(TRIM(LEFT(TRIM(INDEX('Thông tin HV'!$C$4:$C$60, A32)),LEN(TRIM(INDEX('Thông tin HV'!$C$4:$C$60, A32)))-LEN(C32)))))</f>
        <v/>
      </c>
      <c r="C32" s="476">
        <f>IF(A32="","", PROPER(TRIM(RIGHT(SUBSTITUTE(TRIM(INDEX('Thông tin HV'!$C$4:$C$60, A32))," ",REPT(" ",100)),100))))</f>
        <v/>
      </c>
      <c r="D32" s="526">
        <f>IF(A32="","", INDEX('Thông tin HV'!$D$4:$D$60, A32))</f>
        <v/>
      </c>
      <c r="E32" s="735">
        <f>IF(A32="","", INDEX('Thông tin HV'!$O$4:$O$60, A32))</f>
        <v/>
      </c>
      <c r="F32" s="735">
        <f>IF(A32="","", INDEX('Thông tin HV'!$P$4:$P$60, A32))</f>
        <v/>
      </c>
      <c r="G32" s="736">
        <f>IF(A32="","", INDEX('Điểm KH'!$BH$4:$BH$60, A32))</f>
        <v/>
      </c>
      <c r="H32" s="737">
        <f>IF(A32="","", INDEX('Điểm KH'!$BI$4:$BI$60, A32))</f>
        <v/>
      </c>
      <c r="I32" s="738" t="n"/>
      <c r="J32" s="733" t="n"/>
    </row>
    <row r="33" ht="18" customFormat="1" customHeight="1" s="727">
      <c r="A33" s="734">
        <f>IFERROR(AGGREGATE(15, 6, (ROW('Điểm KH'!$BJ$4:$BJ$60)-3)/('Điểm KH'!$BJ$4:$BJ$60="x"), ROWS($1:26)), "")</f>
        <v/>
      </c>
      <c r="B33" s="476">
        <f>IF(A33="","", PROPER(TRIM(LEFT(TRIM(INDEX('Thông tin HV'!$C$4:$C$60, A33)),LEN(TRIM(INDEX('Thông tin HV'!$C$4:$C$60, A33)))-LEN(C33)))))</f>
        <v/>
      </c>
      <c r="C33" s="476">
        <f>IF(A33="","", PROPER(TRIM(RIGHT(SUBSTITUTE(TRIM(INDEX('Thông tin HV'!$C$4:$C$60, A33))," ",REPT(" ",100)),100))))</f>
        <v/>
      </c>
      <c r="D33" s="526">
        <f>IF(A33="","", INDEX('Thông tin HV'!$D$4:$D$60, A33))</f>
        <v/>
      </c>
      <c r="E33" s="735">
        <f>IF(A33="","", INDEX('Thông tin HV'!$O$4:$O$60, A33))</f>
        <v/>
      </c>
      <c r="F33" s="735">
        <f>IF(A33="","", INDEX('Thông tin HV'!$P$4:$P$60, A33))</f>
        <v/>
      </c>
      <c r="G33" s="736">
        <f>IF(A33="","", INDEX('Điểm KH'!$BH$4:$BH$60, A33))</f>
        <v/>
      </c>
      <c r="H33" s="737">
        <f>IF(A33="","", INDEX('Điểm KH'!$BI$4:$BI$60, A33))</f>
        <v/>
      </c>
      <c r="I33" s="738" t="n"/>
      <c r="J33" s="733" t="n"/>
    </row>
    <row r="34" ht="18" customFormat="1" customHeight="1" s="727">
      <c r="A34" s="734">
        <f>IFERROR(AGGREGATE(15, 6, (ROW('Điểm KH'!$BJ$4:$BJ$60)-3)/('Điểm KH'!$BJ$4:$BJ$60="x"), ROWS($1:27)), "")</f>
        <v/>
      </c>
      <c r="B34" s="476">
        <f>IF(A34="","", PROPER(TRIM(LEFT(TRIM(INDEX('Thông tin HV'!$C$4:$C$60, A34)),LEN(TRIM(INDEX('Thông tin HV'!$C$4:$C$60, A34)))-LEN(C34)))))</f>
        <v/>
      </c>
      <c r="C34" s="476">
        <f>IF(A34="","", PROPER(TRIM(RIGHT(SUBSTITUTE(TRIM(INDEX('Thông tin HV'!$C$4:$C$60, A34))," ",REPT(" ",100)),100))))</f>
        <v/>
      </c>
      <c r="D34" s="526">
        <f>IF(A34="","", INDEX('Thông tin HV'!$D$4:$D$60, A34))</f>
        <v/>
      </c>
      <c r="E34" s="735">
        <f>IF(A34="","", INDEX('Thông tin HV'!$O$4:$O$60, A34))</f>
        <v/>
      </c>
      <c r="F34" s="735">
        <f>IF(A34="","", INDEX('Thông tin HV'!$P$4:$P$60, A34))</f>
        <v/>
      </c>
      <c r="G34" s="736">
        <f>IF(A34="","", INDEX('Điểm KH'!$BH$4:$BH$60, A34))</f>
        <v/>
      </c>
      <c r="H34" s="737">
        <f>IF(A34="","", INDEX('Điểm KH'!$BI$4:$BI$60, A34))</f>
        <v/>
      </c>
      <c r="I34" s="738" t="n"/>
      <c r="J34" s="733" t="n"/>
    </row>
    <row r="35" ht="33" customFormat="1" customHeight="1" s="715">
      <c r="A35" s="734">
        <f>IFERROR(AGGREGATE(15, 6, (ROW('Điểm KH'!$BJ$4:$BJ$60)-3)/('Điểm KH'!$BJ$4:$BJ$60="x"), ROWS($1:28)), "")</f>
        <v/>
      </c>
      <c r="B35" s="476">
        <f>IF(A35="","", PROPER(TRIM(LEFT(TRIM(INDEX('Thông tin HV'!$C$4:$C$60, A35)),LEN(TRIM(INDEX('Thông tin HV'!$C$4:$C$60, A35)))-LEN(C35)))))</f>
        <v/>
      </c>
      <c r="C35" s="476">
        <f>IF(A35="","", PROPER(TRIM(RIGHT(SUBSTITUTE(TRIM(INDEX('Thông tin HV'!$C$4:$C$60, A35))," ",REPT(" ",100)),100))))</f>
        <v/>
      </c>
      <c r="D35" s="526">
        <f>IF(A35="","", INDEX('Thông tin HV'!$D$4:$D$60, A35))</f>
        <v/>
      </c>
      <c r="E35" s="735">
        <f>IF(A35="","", INDEX('Thông tin HV'!$O$4:$O$60, A35))</f>
        <v/>
      </c>
      <c r="F35" s="735">
        <f>IF(A35="","", INDEX('Thông tin HV'!$P$4:$P$60, A35))</f>
        <v/>
      </c>
      <c r="G35" s="736">
        <f>IF(A35="","", INDEX('Điểm KH'!$BH$4:$BH$60, A35))</f>
        <v/>
      </c>
      <c r="H35" s="737">
        <f>IF(A35="","", INDEX('Điểm KH'!$BI$4:$BI$60, A35))</f>
        <v/>
      </c>
      <c r="I35" s="738" t="n"/>
      <c r="J35" s="740" t="n"/>
    </row>
    <row r="36" ht="9.75" customHeight="1" s="393">
      <c r="A36" s="734">
        <f>IFERROR(AGGREGATE(15, 6, (ROW('Điểm KH'!$BJ$4:$BJ$60)-3)/('Điểm KH'!$BJ$4:$BJ$60="x"), ROWS($1:29)), "")</f>
        <v/>
      </c>
      <c r="B36" s="476">
        <f>IF(A36="","", PROPER(TRIM(LEFT(TRIM(INDEX('Thông tin HV'!$C$4:$C$60, A36)),LEN(TRIM(INDEX('Thông tin HV'!$C$4:$C$60, A36)))-LEN(C36)))))</f>
        <v/>
      </c>
      <c r="C36" s="476">
        <f>IF(A36="","", PROPER(TRIM(RIGHT(SUBSTITUTE(TRIM(INDEX('Thông tin HV'!$C$4:$C$60, A36))," ",REPT(" ",100)),100))))</f>
        <v/>
      </c>
      <c r="D36" s="526">
        <f>IF(A36="","", INDEX('Thông tin HV'!$D$4:$D$60, A36))</f>
        <v/>
      </c>
      <c r="E36" s="735">
        <f>IF(A36="","", INDEX('Thông tin HV'!$O$4:$O$60, A36))</f>
        <v/>
      </c>
      <c r="F36" s="735">
        <f>IF(A36="","", INDEX('Thông tin HV'!$P$4:$P$60, A36))</f>
        <v/>
      </c>
      <c r="G36" s="736">
        <f>IF(A36="","", INDEX('Điểm KH'!$BH$4:$BH$60, A36))</f>
        <v/>
      </c>
      <c r="H36" s="737">
        <f>IF(A36="","", INDEX('Điểm KH'!$BI$4:$BI$60, A36))</f>
        <v/>
      </c>
      <c r="I36" s="738" t="n"/>
    </row>
    <row r="37" ht="33" customFormat="1" customHeight="1" s="740">
      <c r="A37" s="734">
        <f>IFERROR(AGGREGATE(15, 6, (ROW('Điểm KH'!$BJ$4:$BJ$60)-3)/('Điểm KH'!$BJ$4:$BJ$60="x"), ROWS($1:30)), "")</f>
        <v/>
      </c>
      <c r="B37" s="476">
        <f>IF(A37="","", PROPER(TRIM(LEFT(TRIM(INDEX('Thông tin HV'!$C$4:$C$60, A37)),LEN(TRIM(INDEX('Thông tin HV'!$C$4:$C$60, A37)))-LEN(C37)))))</f>
        <v/>
      </c>
      <c r="C37" s="476">
        <f>IF(A37="","", PROPER(TRIM(RIGHT(SUBSTITUTE(TRIM(INDEX('Thông tin HV'!$C$4:$C$60, A37))," ",REPT(" ",100)),100))))</f>
        <v/>
      </c>
      <c r="D37" s="526">
        <f>IF(A37="","", INDEX('Thông tin HV'!$D$4:$D$60, A37))</f>
        <v/>
      </c>
      <c r="E37" s="735">
        <f>IF(A37="","", INDEX('Thông tin HV'!$O$4:$O$60, A37))</f>
        <v/>
      </c>
      <c r="F37" s="735">
        <f>IF(A37="","", INDEX('Thông tin HV'!$P$4:$P$60, A37))</f>
        <v/>
      </c>
      <c r="G37" s="736">
        <f>IF(A37="","", INDEX('Điểm KH'!$BH$4:$BH$60, A37))</f>
        <v/>
      </c>
      <c r="H37" s="737">
        <f>IF(A37="","", INDEX('Điểm KH'!$BI$4:$BI$60, A37))</f>
        <v/>
      </c>
      <c r="I37" s="738" t="n"/>
    </row>
    <row r="38" ht="33" customHeight="1" s="393">
      <c r="A38" s="741">
        <f>IFERROR(AGGREGATE(15, 6, (ROW('Điểm KH'!$BJ$4:$BJ$60)-3)/('Điểm KH'!$BJ$4:$BJ$60="x"), ROWS($1:31)), "")</f>
        <v/>
      </c>
      <c r="B38" s="476">
        <f>IF(A38="","", PROPER(TRIM(LEFT(TRIM(INDEX('Thông tin HV'!$C$4:$C$60, A38)),LEN(TRIM(INDEX('Thông tin HV'!$C$4:$C$60, A38)))-LEN(C38)))))</f>
        <v/>
      </c>
      <c r="C38" s="476">
        <f>IF(A38="","", PROPER(TRIM(RIGHT(SUBSTITUTE(TRIM(INDEX('Thông tin HV'!$C$4:$C$60, A38))," ",REPT(" ",100)),100))))</f>
        <v/>
      </c>
      <c r="D38" s="526">
        <f>IF(A38="","", INDEX('Thông tin HV'!$D$4:$D$60, A38))</f>
        <v/>
      </c>
      <c r="E38" s="742">
        <f>IF(A38="","", INDEX('Thông tin HV'!$O$4:$O$60, A38))</f>
        <v/>
      </c>
      <c r="F38" s="742">
        <f>IF(A38="","", INDEX('Thông tin HV'!$P$4:$P$60, A38))</f>
        <v/>
      </c>
      <c r="G38" s="743">
        <f>IF(A38="","", INDEX('Điểm KH'!$BH$4:$BH$60, A38))</f>
        <v/>
      </c>
      <c r="H38" s="744">
        <f>IF(A38="","", INDEX('Điểm KH'!$BI$4:$BI$60, A38))</f>
        <v/>
      </c>
      <c r="I38" s="745" t="n"/>
    </row>
    <row r="39" ht="16.5" customHeight="1" s="393">
      <c r="A39" s="659">
        <f>IFERROR(AGGREGATE(15, 6, (ROW('Điểm KH'!$BJ$4:$BJ$60)-3)/('Điểm KH'!$BJ$4:$BJ$60="x"), ROWS($1:32)), "")</f>
        <v/>
      </c>
      <c r="B39" s="476">
        <f>IF(A39="","", PROPER(TRIM(LEFT(TRIM(INDEX('Thông tin HV'!$C$4:$C$60, A39)),LEN(TRIM(INDEX('Thông tin HV'!$C$4:$C$60, A39)))-LEN(C39)))))</f>
        <v/>
      </c>
      <c r="C39" s="476">
        <f>IF(A39="","", PROPER(TRIM(RIGHT(SUBSTITUTE(TRIM(INDEX('Thông tin HV'!$C$4:$C$60, A39))," ",REPT(" ",100)),100))))</f>
        <v/>
      </c>
      <c r="D39" s="526">
        <f>IF(A39="","", INDEX('Thông tin HV'!$D$4:$D$60, A39))</f>
        <v/>
      </c>
      <c r="E39" s="659">
        <f>IF(A39="","", INDEX('Thông tin HV'!$O$4:$O$60, A39))</f>
        <v/>
      </c>
      <c r="F39" s="659">
        <f>IF(A39="","", INDEX('Thông tin HV'!$P$4:$P$60, A39))</f>
        <v/>
      </c>
      <c r="G39" s="659">
        <f>IF(A39="","", INDEX('Điểm KH'!$BH$4:$BH$60, A39))</f>
        <v/>
      </c>
      <c r="H39" s="659">
        <f>IF(A39="","", INDEX('Điểm KH'!$BI$4:$BI$60, A39))</f>
        <v/>
      </c>
    </row>
    <row r="40" ht="16.5" customHeight="1" s="393">
      <c r="A40" s="659">
        <f>IFERROR(AGGREGATE(15, 6, (ROW('Điểm KH'!$BJ$4:$BJ$60)-3)/('Điểm KH'!$BJ$4:$BJ$60="x"), ROWS($1:33)), "")</f>
        <v/>
      </c>
      <c r="B40" s="476">
        <f>IF(A40="","", PROPER(TRIM(LEFT(TRIM(INDEX('Thông tin HV'!$C$4:$C$60, A40)),LEN(TRIM(INDEX('Thông tin HV'!$C$4:$C$60, A40)))-LEN(C40)))))</f>
        <v/>
      </c>
      <c r="C40" s="476">
        <f>IF(A40="","", PROPER(TRIM(RIGHT(SUBSTITUTE(TRIM(INDEX('Thông tin HV'!$C$4:$C$60, A40))," ",REPT(" ",100)),100))))</f>
        <v/>
      </c>
      <c r="D40" s="526">
        <f>IF(A40="","", INDEX('Thông tin HV'!$D$4:$D$60, A40))</f>
        <v/>
      </c>
      <c r="E40" s="659">
        <f>IF(A40="","", INDEX('Thông tin HV'!$O$4:$O$60, A40))</f>
        <v/>
      </c>
      <c r="F40" s="659">
        <f>IF(A40="","", INDEX('Thông tin HV'!$P$4:$P$60, A40))</f>
        <v/>
      </c>
      <c r="G40" s="659">
        <f>IF(A40="","", INDEX('Điểm KH'!$BH$4:$BH$60, A40))</f>
        <v/>
      </c>
      <c r="H40" s="659">
        <f>IF(A40="","", INDEX('Điểm KH'!$BI$4:$BI$60, A40))</f>
        <v/>
      </c>
    </row>
    <row r="41">
      <c r="A41" s="659">
        <f>IFERROR(AGGREGATE(15, 6, (ROW('Điểm KH'!$BJ$4:$BJ$60)-3)/('Điểm KH'!$BJ$4:$BJ$60="x"), ROWS($1:34)), "")</f>
        <v/>
      </c>
      <c r="B41" s="659">
        <f>IF(A41="","", PROPER(TRIM(LEFT(TRIM(INDEX('Thông tin HV'!$C$4:$C$60, A41)),LEN(TRIM(INDEX('Thông tin HV'!$C$4:$C$60, A41)))-LEN(C41)))))</f>
        <v/>
      </c>
      <c r="C41" s="659">
        <f>IF(A41="","", PROPER(TRIM(RIGHT(SUBSTITUTE(TRIM(INDEX('Thông tin HV'!$C$4:$C$60, A41))," ",REPT(" ",100)),100))))</f>
        <v/>
      </c>
      <c r="D41" s="659">
        <f>IF(A41="","", INDEX('Thông tin HV'!$D$4:$D$60, A41))</f>
        <v/>
      </c>
      <c r="E41" s="659">
        <f>IF(A41="","", INDEX('Thông tin HV'!$O$4:$O$60, A41))</f>
        <v/>
      </c>
      <c r="F41" s="659">
        <f>IF(A41="","", INDEX('Thông tin HV'!$P$4:$P$60, A41))</f>
        <v/>
      </c>
      <c r="G41" s="659">
        <f>IF(A41="","", INDEX('Điểm KH'!$BH$4:$BH$60, A41))</f>
        <v/>
      </c>
      <c r="H41" s="659">
        <f>IF(A41="","", INDEX('Điểm KH'!$BI$4:$BI$60, A41))</f>
        <v/>
      </c>
    </row>
    <row r="42">
      <c r="A42" s="659">
        <f>IFERROR(AGGREGATE(15, 6, (ROW('Điểm KH'!$BJ$4:$BJ$60)-3)/('Điểm KH'!$BJ$4:$BJ$60="x"), ROWS($1:35)), "")</f>
        <v/>
      </c>
      <c r="B42" s="659">
        <f>IF(A42="","", PROPER(TRIM(LEFT(TRIM(INDEX('Thông tin HV'!$C$4:$C$60, A42)),LEN(TRIM(INDEX('Thông tin HV'!$C$4:$C$60, A42)))-LEN(C42)))))</f>
        <v/>
      </c>
      <c r="C42" s="659">
        <f>IF(A42="","", PROPER(TRIM(RIGHT(SUBSTITUTE(TRIM(INDEX('Thông tin HV'!$C$4:$C$60, A42))," ",REPT(" ",100)),100))))</f>
        <v/>
      </c>
      <c r="D42" s="659">
        <f>IF(A42="","", INDEX('Thông tin HV'!$D$4:$D$60, A42))</f>
        <v/>
      </c>
      <c r="E42" s="659">
        <f>IF(A42="","", INDEX('Thông tin HV'!$O$4:$O$60, A42))</f>
        <v/>
      </c>
      <c r="F42" s="659">
        <f>IF(A42="","", INDEX('Thông tin HV'!$P$4:$P$60, A42))</f>
        <v/>
      </c>
      <c r="G42" s="659">
        <f>IF(A42="","", INDEX('Điểm KH'!$BH$4:$BH$60, A42))</f>
        <v/>
      </c>
      <c r="H42" s="659">
        <f>IF(A42="","", INDEX('Điểm KH'!$BI$4:$BI$60, A42))</f>
        <v/>
      </c>
    </row>
    <row r="43">
      <c r="A43" s="659">
        <f>IFERROR(AGGREGATE(15, 6, (ROW('Điểm KH'!$BJ$4:$BJ$60)-3)/('Điểm KH'!$BJ$4:$BJ$60="x"), ROWS($1:36)), "")</f>
        <v/>
      </c>
      <c r="B43" s="659">
        <f>IF(A43="","", PROPER(TRIM(LEFT(TRIM(INDEX('Thông tin HV'!$C$4:$C$60, A43)),LEN(TRIM(INDEX('Thông tin HV'!$C$4:$C$60, A43)))-LEN(C43)))))</f>
        <v/>
      </c>
      <c r="C43" s="659">
        <f>IF(A43="","", PROPER(TRIM(RIGHT(SUBSTITUTE(TRIM(INDEX('Thông tin HV'!$C$4:$C$60, A43))," ",REPT(" ",100)),100))))</f>
        <v/>
      </c>
      <c r="D43" s="659">
        <f>IF(A43="","", INDEX('Thông tin HV'!$D$4:$D$60, A43))</f>
        <v/>
      </c>
      <c r="E43" s="659">
        <f>IF(A43="","", INDEX('Thông tin HV'!$O$4:$O$60, A43))</f>
        <v/>
      </c>
      <c r="F43" s="659">
        <f>IF(A43="","", INDEX('Thông tin HV'!$P$4:$P$60, A43))</f>
        <v/>
      </c>
      <c r="G43" s="659">
        <f>IF(A43="","", INDEX('Điểm KH'!$BH$4:$BH$60, A43))</f>
        <v/>
      </c>
      <c r="H43" s="659">
        <f>IF(A43="","", INDEX('Điểm KH'!$BI$4:$BI$60, A43))</f>
        <v/>
      </c>
    </row>
    <row r="44">
      <c r="A44" s="659">
        <f>IFERROR(AGGREGATE(15, 6, (ROW('Điểm KH'!$BJ$4:$BJ$60)-3)/('Điểm KH'!$BJ$4:$BJ$60="x"), ROWS($1:37)), "")</f>
        <v/>
      </c>
      <c r="B44" s="659">
        <f>IF(A44="","", PROPER(TRIM(LEFT(TRIM(INDEX('Thông tin HV'!$C$4:$C$60, A44)),LEN(TRIM(INDEX('Thông tin HV'!$C$4:$C$60, A44)))-LEN(C44)))))</f>
        <v/>
      </c>
      <c r="C44" s="659">
        <f>IF(A44="","", PROPER(TRIM(RIGHT(SUBSTITUTE(TRIM(INDEX('Thông tin HV'!$C$4:$C$60, A44))," ",REPT(" ",100)),100))))</f>
        <v/>
      </c>
      <c r="D44" s="659">
        <f>IF(A44="","", INDEX('Thông tin HV'!$D$4:$D$60, A44))</f>
        <v/>
      </c>
      <c r="E44" s="659">
        <f>IF(A44="","", INDEX('Thông tin HV'!$O$4:$O$60, A44))</f>
        <v/>
      </c>
      <c r="F44" s="659">
        <f>IF(A44="","", INDEX('Thông tin HV'!$P$4:$P$60, A44))</f>
        <v/>
      </c>
      <c r="G44" s="659">
        <f>IF(A44="","", INDEX('Điểm KH'!$BH$4:$BH$60, A44))</f>
        <v/>
      </c>
      <c r="H44" s="659">
        <f>IF(A44="","", INDEX('Điểm KH'!$BI$4:$BI$60, A44))</f>
        <v/>
      </c>
    </row>
    <row r="45">
      <c r="A45" s="659">
        <f>IFERROR(AGGREGATE(15, 6, (ROW('Điểm KH'!$BJ$4:$BJ$60)-3)/('Điểm KH'!$BJ$4:$BJ$60="x"), ROWS($1:38)), "")</f>
        <v/>
      </c>
      <c r="B45" s="659">
        <f>IF(A45="","", PROPER(TRIM(LEFT(TRIM(INDEX('Thông tin HV'!$C$4:$C$60, A45)),LEN(TRIM(INDEX('Thông tin HV'!$C$4:$C$60, A45)))-LEN(C45)))))</f>
        <v/>
      </c>
      <c r="C45" s="659">
        <f>IF(A45="","", PROPER(TRIM(RIGHT(SUBSTITUTE(TRIM(INDEX('Thông tin HV'!$C$4:$C$60, A45))," ",REPT(" ",100)),100))))</f>
        <v/>
      </c>
      <c r="D45" s="659">
        <f>IF(A45="","", INDEX('Thông tin HV'!$D$4:$D$60, A45))</f>
        <v/>
      </c>
      <c r="E45" s="659">
        <f>IF(A45="","", INDEX('Thông tin HV'!$O$4:$O$60, A45))</f>
        <v/>
      </c>
      <c r="F45" s="659">
        <f>IF(A45="","", INDEX('Thông tin HV'!$P$4:$P$60, A45))</f>
        <v/>
      </c>
      <c r="G45" s="659">
        <f>IF(A45="","", INDEX('Điểm KH'!$BH$4:$BH$60, A45))</f>
        <v/>
      </c>
      <c r="H45" s="659">
        <f>IF(A45="","", INDEX('Điểm KH'!$BI$4:$BI$60, A45))</f>
        <v/>
      </c>
    </row>
    <row r="46">
      <c r="A46" s="659">
        <f>IFERROR(AGGREGATE(15, 6, (ROW('Điểm KH'!$BJ$4:$BJ$60)-3)/('Điểm KH'!$BJ$4:$BJ$60="x"), ROWS($1:39)), "")</f>
        <v/>
      </c>
      <c r="B46" s="659">
        <f>IF(A46="","", PROPER(TRIM(LEFT(TRIM(INDEX('Thông tin HV'!$C$4:$C$60, A46)),LEN(TRIM(INDEX('Thông tin HV'!$C$4:$C$60, A46)))-LEN(C46)))))</f>
        <v/>
      </c>
      <c r="C46" s="659">
        <f>IF(A46="","", PROPER(TRIM(RIGHT(SUBSTITUTE(TRIM(INDEX('Thông tin HV'!$C$4:$C$60, A46))," ",REPT(" ",100)),100))))</f>
        <v/>
      </c>
      <c r="D46" s="659">
        <f>IF(A46="","", INDEX('Thông tin HV'!$D$4:$D$60, A46))</f>
        <v/>
      </c>
      <c r="E46" s="659">
        <f>IF(A46="","", INDEX('Thông tin HV'!$O$4:$O$60, A46))</f>
        <v/>
      </c>
      <c r="F46" s="659">
        <f>IF(A46="","", INDEX('Thông tin HV'!$P$4:$P$60, A46))</f>
        <v/>
      </c>
      <c r="G46" s="659">
        <f>IF(A46="","", INDEX('Điểm KH'!$BH$4:$BH$60, A46))</f>
        <v/>
      </c>
      <c r="H46" s="659">
        <f>IF(A46="","", INDEX('Điểm KH'!$BI$4:$BI$60, A46))</f>
        <v/>
      </c>
    </row>
    <row r="47">
      <c r="A47" s="659">
        <f>IFERROR(AGGREGATE(15, 6, (ROW('Điểm KH'!$BJ$4:$BJ$60)-3)/('Điểm KH'!$BJ$4:$BJ$60="x"), ROWS($1:40)), "")</f>
        <v/>
      </c>
      <c r="B47" s="659">
        <f>IF(A47="","", PROPER(TRIM(LEFT(TRIM(INDEX('Thông tin HV'!$C$4:$C$60, A47)),LEN(TRIM(INDEX('Thông tin HV'!$C$4:$C$60, A47)))-LEN(C47)))))</f>
        <v/>
      </c>
      <c r="C47" s="659">
        <f>IF(A47="","", PROPER(TRIM(RIGHT(SUBSTITUTE(TRIM(INDEX('Thông tin HV'!$C$4:$C$60, A47))," ",REPT(" ",100)),100))))</f>
        <v/>
      </c>
      <c r="D47" s="659">
        <f>IF(A47="","", INDEX('Thông tin HV'!$D$4:$D$60, A47))</f>
        <v/>
      </c>
      <c r="E47" s="659">
        <f>IF(A47="","", INDEX('Thông tin HV'!$O$4:$O$60, A47))</f>
        <v/>
      </c>
      <c r="F47" s="659">
        <f>IF(A47="","", INDEX('Thông tin HV'!$P$4:$P$60, A47))</f>
        <v/>
      </c>
      <c r="G47" s="659">
        <f>IF(A47="","", INDEX('Điểm KH'!$BH$4:$BH$60, A47))</f>
        <v/>
      </c>
      <c r="H47" s="659">
        <f>IF(A47="","", INDEX('Điểm KH'!$BI$4:$BI$60, A47))</f>
        <v/>
      </c>
    </row>
    <row r="48">
      <c r="A48" s="659" t="inlineStr"/>
      <c r="B48" s="659" t="inlineStr"/>
      <c r="C48" s="659" t="inlineStr"/>
      <c r="D48" s="659" t="inlineStr"/>
      <c r="E48" s="659" t="inlineStr"/>
      <c r="F48" s="659" t="inlineStr"/>
      <c r="G48" s="659" t="inlineStr"/>
      <c r="H48" s="659" t="inlineStr"/>
    </row>
    <row r="49">
      <c r="A49" s="659" t="inlineStr"/>
      <c r="B49" s="659" t="inlineStr"/>
      <c r="C49" s="659" t="inlineStr"/>
      <c r="D49" s="659" t="inlineStr"/>
      <c r="E49" s="659" t="inlineStr"/>
      <c r="F49" s="659" t="inlineStr"/>
      <c r="G49" s="659" t="inlineStr"/>
      <c r="H49" s="659" t="inlineStr"/>
    </row>
  </sheetData>
  <mergeCells count="9">
    <mergeCell ref="K8:M8"/>
    <mergeCell ref="F1:I1"/>
    <mergeCell ref="B7:C7"/>
    <mergeCell ref="A2:E2"/>
    <mergeCell ref="A5:I5"/>
    <mergeCell ref="F2:I2"/>
    <mergeCell ref="A1:E1"/>
    <mergeCell ref="A3:I3"/>
    <mergeCell ref="A4:I4"/>
  </mergeCells>
  <printOptions horizontalCentered="0" verticalCentered="0" headings="0" gridLines="0" gridLinesSet="1"/>
  <pageMargins left="0.708333333333333" right="0.379861111111111" top="0.490277777777778" bottom="0.479861111111111" header="0.511811023622047" footer="0.511811023622047"/>
  <pageSetup orientation="landscape"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I33"/>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H26" activeCellId="0" sqref="H26"/>
    </sheetView>
  </sheetViews>
  <sheetFormatPr baseColWidth="8" defaultColWidth="8.99609375" defaultRowHeight="15.75" zeroHeight="0" outlineLevelRow="0"/>
  <cols>
    <col width="5.5" customWidth="1" style="746" min="1" max="1"/>
    <col width="47.74" customWidth="1" style="746" min="2" max="2"/>
    <col width="17.06" customWidth="1" style="746" min="3" max="3"/>
    <col width="20.62" customWidth="1" style="747" min="4" max="4"/>
    <col width="14.5" customWidth="1" style="746" min="5" max="5"/>
    <col width="8.99" customWidth="1" style="746" min="6" max="7"/>
    <col width="64.31" customWidth="1" style="746" min="8" max="8"/>
    <col width="8.99" customWidth="1" style="746" min="9" max="257"/>
  </cols>
  <sheetData>
    <row r="1" ht="15.75" customHeight="1" s="393">
      <c r="B1" s="748" t="inlineStr">
        <is>
          <t>Các nghề đào tạo của đơn vị</t>
        </is>
      </c>
      <c r="G1" s="749" t="inlineStr">
        <is>
          <t>Nhóm đối tượng</t>
        </is>
      </c>
      <c r="H1" s="404" t="n"/>
      <c r="I1" s="404" t="n"/>
    </row>
    <row r="2" ht="30" customHeight="1" s="393">
      <c r="A2" s="750" t="inlineStr">
        <is>
          <t>Số
TT</t>
        </is>
      </c>
      <c r="B2" s="751" t="inlineStr">
        <is>
          <t>Tên nghề</t>
        </is>
      </c>
      <c r="C2" s="751" t="inlineStr">
        <is>
          <t>Lĩnh vực</t>
        </is>
      </c>
      <c r="D2" s="750" t="inlineStr">
        <is>
          <t>Thời gian đào tạo
(Tháng)</t>
        </is>
      </c>
      <c r="E2" s="750" t="inlineStr">
        <is>
          <t>Trình độ đào tạo</t>
        </is>
      </c>
      <c r="G2" s="752" t="inlineStr">
        <is>
          <t>Số
TT</t>
        </is>
      </c>
      <c r="H2" s="752" t="inlineStr">
        <is>
          <t>Đối tượng</t>
        </is>
      </c>
      <c r="I2" s="752" t="inlineStr">
        <is>
          <t>Thuộc
nhóm</t>
        </is>
      </c>
    </row>
    <row r="3" ht="16.5" customHeight="1" s="393">
      <c r="A3" s="421" t="n"/>
      <c r="B3" s="421" t="n"/>
      <c r="C3" s="421" t="n"/>
      <c r="D3" s="421" t="n"/>
      <c r="E3" s="421" t="n"/>
      <c r="G3" s="753" t="n">
        <v>1</v>
      </c>
      <c r="H3" s="754" t="inlineStr">
        <is>
          <t>Người khuyết tật</t>
        </is>
      </c>
      <c r="I3" s="753" t="n">
        <v>1</v>
      </c>
    </row>
    <row r="4" ht="17.65" customHeight="1" s="393">
      <c r="A4" s="753" t="inlineStr">
        <is>
          <t>01</t>
        </is>
      </c>
      <c r="B4" s="755" t="inlineStr">
        <is>
          <t>Vận hành, sửa chữa máy nông nghiệp</t>
        </is>
      </c>
      <c r="C4" s="756" t="inlineStr">
        <is>
          <t>Phi nông nghiệp</t>
        </is>
      </c>
      <c r="D4" s="756" t="n">
        <v>3</v>
      </c>
      <c r="E4" s="756" t="inlineStr">
        <is>
          <t>Sơ cấp</t>
        </is>
      </c>
      <c r="G4" s="753" t="n">
        <v>2</v>
      </c>
      <c r="H4" s="757" t="inlineStr">
        <is>
          <t>Người thuộc hộ dân tộc thiểu số nghèo</t>
        </is>
      </c>
      <c r="I4" s="753" t="n">
        <v>2</v>
      </c>
    </row>
    <row r="5" ht="17.65" customHeight="1" s="393">
      <c r="A5" s="753" t="inlineStr">
        <is>
          <t>02</t>
        </is>
      </c>
      <c r="B5" s="755" t="inlineStr">
        <is>
          <t>Vận hành máy kéo nông nghiệp</t>
        </is>
      </c>
      <c r="C5" s="756" t="inlineStr">
        <is>
          <t>Phi nông nghiệp</t>
        </is>
      </c>
      <c r="D5" s="756" t="n">
        <v>1</v>
      </c>
      <c r="E5" s="756" t="inlineStr">
        <is>
          <t>Sơ cấp</t>
        </is>
      </c>
      <c r="G5" s="753" t="n">
        <v>3</v>
      </c>
      <c r="H5" s="757" t="inlineStr">
        <is>
          <t>Người thuộc hộ nghèo ở các xã, thôn, bản đặc biệt khó khăn</t>
        </is>
      </c>
      <c r="I5" s="753" t="n">
        <v>2</v>
      </c>
    </row>
    <row r="6" ht="17.65" customHeight="1" s="393">
      <c r="A6" s="753" t="inlineStr">
        <is>
          <t>03</t>
        </is>
      </c>
      <c r="B6" s="755" t="inlineStr">
        <is>
          <t>Nề - Hoàn thiện</t>
        </is>
      </c>
      <c r="C6" s="756" t="inlineStr">
        <is>
          <t>Phi nông nghiệp</t>
        </is>
      </c>
      <c r="D6" s="756" t="n">
        <v>3</v>
      </c>
      <c r="E6" s="756" t="inlineStr">
        <is>
          <t>Dưới 3 tháng</t>
        </is>
      </c>
      <c r="G6" s="753" t="n">
        <v>4</v>
      </c>
      <c r="H6" s="757" t="inlineStr">
        <is>
          <t>Người dân tộc thiểu số</t>
        </is>
      </c>
      <c r="I6" s="753" t="n">
        <v>3</v>
      </c>
    </row>
    <row r="7" ht="17.65" customHeight="1" s="393">
      <c r="A7" s="753" t="inlineStr">
        <is>
          <t>04</t>
        </is>
      </c>
      <c r="B7" s="755" t="inlineStr">
        <is>
          <t>Hàn điện</t>
        </is>
      </c>
      <c r="C7" s="756" t="inlineStr">
        <is>
          <t>Phi nông nghiệp</t>
        </is>
      </c>
      <c r="D7" s="756" t="n">
        <v>3</v>
      </c>
      <c r="E7" s="756" t="inlineStr">
        <is>
          <t>Sơ cấp</t>
        </is>
      </c>
      <c r="G7" s="753" t="n">
        <v>5</v>
      </c>
      <c r="H7" s="757" t="inlineStr">
        <is>
          <t>Người thuộc diện được hưởng chính sách ưu đãi người có công với cách mạng</t>
        </is>
      </c>
      <c r="I7" s="753" t="n">
        <v>3</v>
      </c>
    </row>
    <row r="8" ht="17.65" customHeight="1" s="393">
      <c r="A8" s="753" t="inlineStr">
        <is>
          <t>05</t>
        </is>
      </c>
      <c r="B8" s="755" t="inlineStr">
        <is>
          <t>Trồng rau an toàn</t>
        </is>
      </c>
      <c r="C8" s="755" t="inlineStr">
        <is>
          <t>Nông nghiệp</t>
        </is>
      </c>
      <c r="D8" s="756" t="n">
        <v>2</v>
      </c>
      <c r="E8" s="755" t="inlineStr">
        <is>
          <t>Dưới 3 tháng</t>
        </is>
      </c>
      <c r="G8" s="753" t="n">
        <v>6</v>
      </c>
      <c r="H8" s="757" t="inlineStr">
        <is>
          <t>Người thuộc hộ nghèo</t>
        </is>
      </c>
      <c r="I8" s="753" t="n">
        <v>3</v>
      </c>
    </row>
    <row r="9" ht="17.65" customHeight="1" s="393">
      <c r="A9" s="753" t="inlineStr">
        <is>
          <t>06</t>
        </is>
      </c>
      <c r="B9" s="755" t="inlineStr">
        <is>
          <t>Trồng dâu - nuôi tằm</t>
        </is>
      </c>
      <c r="C9" s="755" t="inlineStr">
        <is>
          <t>Nông nghiệp</t>
        </is>
      </c>
      <c r="D9" s="756" t="n">
        <v>2</v>
      </c>
      <c r="E9" s="755" t="inlineStr">
        <is>
          <t>Dưới 3 tháng</t>
        </is>
      </c>
      <c r="G9" s="753" t="n">
        <v>7</v>
      </c>
      <c r="H9" s="757" t="inlineStr">
        <is>
          <t>Người thuộc hộ gia đình bị thu hồi đất nông nghiệp, đất kinh doanh</t>
        </is>
      </c>
      <c r="I9" s="753" t="n">
        <v>3</v>
      </c>
    </row>
    <row r="10" ht="17.65" customHeight="1" s="393">
      <c r="A10" s="753" t="inlineStr">
        <is>
          <t>07</t>
        </is>
      </c>
      <c r="B10" s="755" t="inlineStr">
        <is>
          <t>Trồng và chăm sóc cây mắc ca</t>
        </is>
      </c>
      <c r="C10" s="755" t="inlineStr">
        <is>
          <t>Nông nghiệp</t>
        </is>
      </c>
      <c r="D10" s="756" t="n">
        <v>1</v>
      </c>
      <c r="E10" s="755" t="inlineStr">
        <is>
          <t>Dưới 3 tháng</t>
        </is>
      </c>
      <c r="G10" s="753" t="n">
        <v>8</v>
      </c>
      <c r="H10" s="757" t="inlineStr">
        <is>
          <t>Lao động nữ bị mất việc làm</t>
        </is>
      </c>
      <c r="I10" s="753" t="n">
        <v>3</v>
      </c>
    </row>
    <row r="11" ht="17.65" customHeight="1" s="393">
      <c r="A11" s="753" t="inlineStr">
        <is>
          <t>08</t>
        </is>
      </c>
      <c r="B11" s="755" t="inlineStr">
        <is>
          <t>Trồng keo, bạch đàn, thông làm nguyên liệu giấy</t>
        </is>
      </c>
      <c r="C11" s="755" t="inlineStr">
        <is>
          <t>Nông nghiệp</t>
        </is>
      </c>
      <c r="D11" s="756" t="n">
        <v>1</v>
      </c>
      <c r="E11" s="755" t="inlineStr">
        <is>
          <t>Dưới 3 tháng</t>
        </is>
      </c>
      <c r="G11" s="753" t="n">
        <v>9</v>
      </c>
      <c r="H11" s="757" t="inlineStr">
        <is>
          <t>Người thuộc hộ cận nghèo</t>
        </is>
      </c>
      <c r="I11" s="753" t="n">
        <v>4</v>
      </c>
    </row>
    <row r="12" ht="17.65" customHeight="1" s="393">
      <c r="A12" s="753" t="inlineStr">
        <is>
          <t>09</t>
        </is>
      </c>
      <c r="B12" s="755" t="inlineStr">
        <is>
          <t>Trồng và chăm sóc cây sầu riêng</t>
        </is>
      </c>
      <c r="C12" s="755" t="inlineStr">
        <is>
          <t>Nông nghiệp</t>
        </is>
      </c>
      <c r="D12" s="756" t="n">
        <v>1</v>
      </c>
      <c r="E12" s="755" t="inlineStr">
        <is>
          <t>Dưới 3 tháng</t>
        </is>
      </c>
      <c r="G12" s="753" t="n">
        <v>10</v>
      </c>
      <c r="H12" s="757" t="inlineStr">
        <is>
          <t>Đối tượng lao động nông thôn khác</t>
        </is>
      </c>
      <c r="I12" s="753" t="n">
        <v>5</v>
      </c>
    </row>
    <row r="13" ht="17.65" customHeight="1" s="393">
      <c r="A13" s="753" t="inlineStr">
        <is>
          <t>10</t>
        </is>
      </c>
      <c r="B13" s="755" t="inlineStr">
        <is>
          <t>Trồng nấm sò</t>
        </is>
      </c>
      <c r="C13" s="755" t="inlineStr">
        <is>
          <t>Nông nghiệp</t>
        </is>
      </c>
      <c r="D13" s="756" t="n">
        <v>1</v>
      </c>
      <c r="E13" s="755" t="inlineStr">
        <is>
          <t>Dưới 3 tháng</t>
        </is>
      </c>
      <c r="G13" s="757" t="n"/>
      <c r="H13" s="757" t="n"/>
      <c r="I13" s="757" t="n"/>
    </row>
    <row r="14" ht="17.65" customHeight="1" s="393">
      <c r="A14" s="753" t="inlineStr">
        <is>
          <t>11</t>
        </is>
      </c>
      <c r="B14" s="755" t="inlineStr">
        <is>
          <t>Trồng, chăm sóc sâm Ngọc Linh</t>
        </is>
      </c>
      <c r="C14" s="755" t="inlineStr">
        <is>
          <t>Nông nghiệp</t>
        </is>
      </c>
      <c r="D14" s="756" t="n">
        <v>1</v>
      </c>
      <c r="E14" s="755" t="inlineStr">
        <is>
          <t>Dưới 3 tháng</t>
        </is>
      </c>
      <c r="G14" s="757" t="n"/>
      <c r="H14" s="757" t="n"/>
      <c r="I14" s="757" t="n"/>
    </row>
    <row r="15" ht="17.65" customHeight="1" s="393">
      <c r="A15" s="753" t="inlineStr">
        <is>
          <t>12</t>
        </is>
      </c>
      <c r="B15" s="755" t="inlineStr">
        <is>
          <t>Trồng và chăm sóc cà phê vối</t>
        </is>
      </c>
      <c r="C15" s="755" t="inlineStr">
        <is>
          <t>Nông nghiệp</t>
        </is>
      </c>
      <c r="D15" s="756" t="n">
        <v>1</v>
      </c>
      <c r="E15" s="755" t="inlineStr">
        <is>
          <t>Dưới 3 tháng</t>
        </is>
      </c>
      <c r="G15" s="757" t="n"/>
      <c r="H15" s="757" t="n"/>
      <c r="I15" s="757" t="n"/>
    </row>
    <row r="16" ht="17.65" customHeight="1" s="393">
      <c r="A16" s="753" t="inlineStr">
        <is>
          <t>13</t>
        </is>
      </c>
      <c r="B16" s="755" t="inlineStr">
        <is>
          <t>Trồng và chăm sóc cây cà phê</t>
        </is>
      </c>
      <c r="C16" s="755" t="inlineStr">
        <is>
          <t>Nông nghiệp</t>
        </is>
      </c>
      <c r="D16" s="756" t="n">
        <v>1</v>
      </c>
      <c r="E16" s="755" t="inlineStr">
        <is>
          <t>Dưới 3 tháng</t>
        </is>
      </c>
      <c r="G16" s="757" t="n"/>
      <c r="H16" s="757" t="n"/>
      <c r="I16" s="757" t="n"/>
    </row>
    <row r="17" ht="17.65" customHeight="1" s="393">
      <c r="A17" s="753" t="inlineStr">
        <is>
          <t>14</t>
        </is>
      </c>
      <c r="B17" s="755" t="inlineStr">
        <is>
          <t>Trồng và chăm sóc cây cà phê</t>
        </is>
      </c>
      <c r="C17" s="755" t="inlineStr">
        <is>
          <t>Nông nghiệp</t>
        </is>
      </c>
      <c r="D17" s="756" t="n">
        <v>2</v>
      </c>
      <c r="E17" s="755" t="inlineStr">
        <is>
          <t>Dưới 3 tháng</t>
        </is>
      </c>
      <c r="G17" s="757" t="n"/>
      <c r="H17" s="757" t="n"/>
      <c r="I17" s="757" t="n"/>
    </row>
    <row r="18" ht="17.65" customHeight="1" s="393">
      <c r="A18" s="753" t="inlineStr">
        <is>
          <t>15</t>
        </is>
      </c>
      <c r="B18" s="755" t="inlineStr">
        <is>
          <t>Nuôi và phòng trị bệnh cho trâu bò</t>
        </is>
      </c>
      <c r="C18" s="755" t="inlineStr">
        <is>
          <t>Nông nghiệp</t>
        </is>
      </c>
      <c r="D18" s="756" t="n">
        <v>2</v>
      </c>
      <c r="E18" s="755" t="inlineStr">
        <is>
          <t>Dưới 3 tháng</t>
        </is>
      </c>
      <c r="G18" s="757" t="n"/>
      <c r="H18" s="757" t="n"/>
      <c r="I18" s="757" t="n"/>
    </row>
    <row r="19" ht="17.65" customHeight="1" s="393">
      <c r="A19" s="753" t="inlineStr">
        <is>
          <t>16</t>
        </is>
      </c>
      <c r="B19" s="755" t="inlineStr">
        <is>
          <t>Nuôi và phòng trị bệnh cho lợn</t>
        </is>
      </c>
      <c r="C19" s="755" t="inlineStr">
        <is>
          <t>Nông nghiệp</t>
        </is>
      </c>
      <c r="D19" s="756" t="n">
        <v>2</v>
      </c>
      <c r="E19" s="755" t="inlineStr">
        <is>
          <t>Dưới 3 tháng</t>
        </is>
      </c>
      <c r="G19" s="757" t="n"/>
      <c r="H19" s="757" t="n"/>
      <c r="I19" s="757" t="n"/>
    </row>
    <row r="20" ht="17.65" customHeight="1" s="393">
      <c r="A20" s="753" t="inlineStr">
        <is>
          <t>17</t>
        </is>
      </c>
      <c r="B20" s="755" t="inlineStr">
        <is>
          <t>Nuôi và phòng trị bệnh cho gà</t>
        </is>
      </c>
      <c r="C20" s="755" t="inlineStr">
        <is>
          <t>Nông nghiệp</t>
        </is>
      </c>
      <c r="D20" s="756" t="n">
        <v>2</v>
      </c>
      <c r="E20" s="755" t="inlineStr">
        <is>
          <t>Dưới 3 tháng</t>
        </is>
      </c>
      <c r="G20" s="757" t="n"/>
      <c r="H20" s="757" t="n"/>
      <c r="I20" s="757" t="n"/>
    </row>
    <row r="21" ht="17.65" customHeight="1" s="393">
      <c r="A21" s="753" t="inlineStr">
        <is>
          <t>18</t>
        </is>
      </c>
      <c r="B21" s="755" t="inlineStr">
        <is>
          <t>Nuôi và phòng trị bệnh cho dê</t>
        </is>
      </c>
      <c r="C21" s="755" t="inlineStr">
        <is>
          <t>Nông nghiệp</t>
        </is>
      </c>
      <c r="D21" s="756" t="n">
        <v>1</v>
      </c>
      <c r="E21" s="755" t="inlineStr">
        <is>
          <t>Dưới 3 tháng</t>
        </is>
      </c>
      <c r="G21" s="757" t="n"/>
      <c r="H21" s="757" t="n"/>
      <c r="I21" s="757" t="n"/>
    </row>
    <row r="22" ht="17.65" customHeight="1" s="393">
      <c r="A22" s="753" t="inlineStr">
        <is>
          <t>19</t>
        </is>
      </c>
      <c r="B22" s="755" t="inlineStr">
        <is>
          <t>Nuôi dúi</t>
        </is>
      </c>
      <c r="C22" s="755" t="inlineStr">
        <is>
          <t>Nông nghiệp</t>
        </is>
      </c>
      <c r="D22" s="756" t="n">
        <v>1</v>
      </c>
      <c r="E22" s="755" t="inlineStr">
        <is>
          <t>Dưới 3 tháng</t>
        </is>
      </c>
      <c r="G22" s="757" t="n"/>
      <c r="H22" s="757" t="n"/>
      <c r="I22" s="757" t="n"/>
    </row>
    <row r="23" ht="17.65" customHeight="1" s="393">
      <c r="A23" s="753" t="inlineStr">
        <is>
          <t>20</t>
        </is>
      </c>
      <c r="B23" s="755" t="inlineStr">
        <is>
          <t>Cạo mủ cao su</t>
        </is>
      </c>
      <c r="C23" s="755" t="inlineStr">
        <is>
          <t>Nông nghiệp</t>
        </is>
      </c>
      <c r="D23" s="756" t="n">
        <v>1</v>
      </c>
      <c r="E23" s="755" t="inlineStr">
        <is>
          <t>Dưới 3 tháng</t>
        </is>
      </c>
    </row>
    <row r="24" ht="17.65" customHeight="1" s="393">
      <c r="A24" s="753" t="inlineStr">
        <is>
          <t>21</t>
        </is>
      </c>
      <c r="B24" s="755" t="inlineStr">
        <is>
          <t>Quản lý và sử dụng thuốc bảo vệ thực vật</t>
        </is>
      </c>
      <c r="C24" s="755" t="inlineStr">
        <is>
          <t>Nông nghiệp</t>
        </is>
      </c>
      <c r="D24" s="756" t="n">
        <v>1</v>
      </c>
      <c r="E24" s="755" t="inlineStr">
        <is>
          <t>Dưới 3 tháng</t>
        </is>
      </c>
    </row>
    <row r="25" ht="15.75" customHeight="1" s="393">
      <c r="A25" s="753" t="inlineStr">
        <is>
          <t>22</t>
        </is>
      </c>
      <c r="B25" s="757" t="n"/>
      <c r="C25" s="757" t="n"/>
      <c r="D25" s="758" t="n"/>
      <c r="E25" s="757" t="n"/>
    </row>
    <row r="26" ht="15.75" customHeight="1" s="393">
      <c r="A26" s="753" t="inlineStr">
        <is>
          <t>23</t>
        </is>
      </c>
      <c r="B26" s="757" t="n"/>
      <c r="C26" s="757" t="n"/>
      <c r="D26" s="758" t="n"/>
      <c r="E26" s="757" t="n"/>
    </row>
    <row r="27" ht="15.75" customHeight="1" s="393">
      <c r="A27" s="753" t="inlineStr">
        <is>
          <t>24</t>
        </is>
      </c>
      <c r="B27" s="757" t="n"/>
      <c r="C27" s="757" t="n"/>
      <c r="D27" s="758" t="n"/>
      <c r="E27" s="757" t="n"/>
    </row>
    <row r="28" ht="15.75" customHeight="1" s="393">
      <c r="A28" s="753" t="inlineStr">
        <is>
          <t>25</t>
        </is>
      </c>
      <c r="B28" s="757" t="n"/>
      <c r="C28" s="757" t="n"/>
      <c r="D28" s="758" t="n"/>
      <c r="E28" s="757" t="n"/>
    </row>
    <row r="29" ht="15.75" customHeight="1" s="393">
      <c r="A29" s="753" t="inlineStr">
        <is>
          <t>26</t>
        </is>
      </c>
      <c r="B29" s="757" t="n"/>
      <c r="C29" s="757" t="n"/>
      <c r="D29" s="758" t="n"/>
      <c r="E29" s="757" t="n"/>
    </row>
    <row r="30" ht="15.75" customHeight="1" s="393">
      <c r="A30" s="753" t="inlineStr">
        <is>
          <t>27</t>
        </is>
      </c>
      <c r="B30" s="757" t="n"/>
      <c r="C30" s="757" t="n"/>
      <c r="D30" s="758" t="n"/>
      <c r="E30" s="757" t="n"/>
    </row>
    <row r="31" ht="15.75" customHeight="1" s="393">
      <c r="A31" s="753" t="inlineStr">
        <is>
          <t>28</t>
        </is>
      </c>
      <c r="B31" s="757" t="n"/>
      <c r="C31" s="757" t="n"/>
      <c r="D31" s="758" t="n"/>
      <c r="E31" s="757" t="n"/>
    </row>
    <row r="32" ht="15.75" customHeight="1" s="393">
      <c r="A32" s="753" t="inlineStr">
        <is>
          <t>29</t>
        </is>
      </c>
      <c r="B32" s="757" t="n"/>
      <c r="C32" s="757" t="n"/>
      <c r="D32" s="758" t="n"/>
      <c r="E32" s="757" t="n"/>
    </row>
    <row r="33" ht="15.75" customHeight="1" s="393">
      <c r="A33" s="753" t="inlineStr">
        <is>
          <t>30</t>
        </is>
      </c>
      <c r="B33" s="757" t="n"/>
      <c r="C33" s="757" t="n"/>
      <c r="D33" s="758" t="n"/>
      <c r="E33" s="757" t="n"/>
    </row>
  </sheetData>
  <mergeCells count="7">
    <mergeCell ref="C2:C3"/>
    <mergeCell ref="B1:D1"/>
    <mergeCell ref="B2:B3"/>
    <mergeCell ref="A2:A3"/>
    <mergeCell ref="D2:D3"/>
    <mergeCell ref="E2:E3"/>
    <mergeCell ref="G1:I1"/>
  </mergeCells>
  <dataValidations count="1">
    <dataValidation sqref="D25:D33" showDropDown="0" showInputMessage="0" showErrorMessage="1" allowBlank="1" errorTitle="Thông báo" error="Bạn phải nhập số nguyên từ 1 đến 12" type="whole" errorStyle="stop" operator="between">
      <formula1>1</formula1>
      <formula2>12</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200888888</dc:creator>
  <dc:language>en-US</dc:language>
  <dcterms:created xsi:type="dcterms:W3CDTF">2008-05-02T02:40:00Z</dcterms:created>
  <dcterms:modified xsi:type="dcterms:W3CDTF">2026-07-29T03:40:47Z</dcterms:modified>
  <cp:lastModifiedBy>Phạm Ngọc Tú</cp:lastModifiedBy>
  <cp:revision>0</cp:revision>
  <cp:lastPrinted>2026-07-29T03:12:31Z</cp:lastPrinted>
</cp:coreProperties>
</file>